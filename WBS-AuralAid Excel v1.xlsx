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github\"/>
    </mc:Choice>
  </mc:AlternateContent>
  <xr:revisionPtr revIDLastSave="0" documentId="8_{37C14F3D-4705-455E-8ADA-2390B7EBCD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sk_Table1" sheetId="1" r:id="rId1"/>
  </sheets>
  <definedNames>
    <definedName name="Task_Table1">Task_Table1!$A$1:$B$1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 a="1"/>
  <c r="H15" i="1" s="1"/>
  <c r="H16" i="1" a="1"/>
  <c r="H16" i="1"/>
  <c r="H17" i="1" a="1"/>
  <c r="H17" i="1" s="1"/>
  <c r="H18" i="1" a="1"/>
  <c r="H18" i="1"/>
  <c r="H19" i="1" a="1"/>
  <c r="H19" i="1" s="1"/>
  <c r="H20" i="1" a="1"/>
  <c r="H20" i="1"/>
  <c r="H21" i="1" a="1"/>
  <c r="H21" i="1" s="1"/>
  <c r="H22" i="1" a="1"/>
  <c r="H22" i="1"/>
  <c r="H23" i="1" a="1"/>
  <c r="H23" i="1" s="1"/>
  <c r="H24" i="1" a="1"/>
  <c r="H24" i="1"/>
  <c r="H25" i="1" a="1"/>
  <c r="H25" i="1" s="1"/>
  <c r="H26" i="1" a="1"/>
  <c r="H26" i="1"/>
  <c r="H27" i="1" a="1"/>
  <c r="H27" i="1" s="1"/>
  <c r="H28" i="1" a="1"/>
  <c r="H28" i="1"/>
  <c r="H29" i="1" a="1"/>
  <c r="H29" i="1" s="1"/>
  <c r="H30" i="1" a="1"/>
  <c r="H30" i="1"/>
  <c r="H31" i="1" a="1"/>
  <c r="H31" i="1" s="1"/>
  <c r="H32" i="1" a="1"/>
  <c r="H32" i="1"/>
  <c r="H33" i="1" a="1"/>
  <c r="H33" i="1" s="1"/>
  <c r="H34" i="1" a="1"/>
  <c r="H34" i="1"/>
  <c r="H35" i="1" a="1"/>
  <c r="H35" i="1" s="1"/>
  <c r="H36" i="1" a="1"/>
  <c r="H36" i="1"/>
  <c r="H37" i="1" a="1"/>
  <c r="H37" i="1" s="1"/>
  <c r="H38" i="1" a="1"/>
  <c r="H38" i="1"/>
  <c r="H39" i="1" a="1"/>
  <c r="H39" i="1" s="1"/>
  <c r="H40" i="1" a="1"/>
  <c r="H40" i="1"/>
  <c r="H41" i="1" a="1"/>
  <c r="H41" i="1" s="1"/>
  <c r="H42" i="1" a="1"/>
  <c r="H42" i="1"/>
  <c r="H43" i="1" a="1"/>
  <c r="H43" i="1" s="1"/>
  <c r="H44" i="1" a="1"/>
  <c r="H44" i="1"/>
  <c r="H45" i="1" a="1"/>
  <c r="H45" i="1" s="1"/>
  <c r="H46" i="1" a="1"/>
  <c r="H46" i="1"/>
  <c r="H47" i="1" a="1"/>
  <c r="H47" i="1" s="1"/>
  <c r="H48" i="1" a="1"/>
  <c r="H48" i="1"/>
  <c r="H49" i="1" a="1"/>
  <c r="H49" i="1" s="1"/>
  <c r="H50" i="1" a="1"/>
  <c r="H50" i="1"/>
  <c r="H51" i="1" a="1"/>
  <c r="H51" i="1" s="1"/>
  <c r="H52" i="1" a="1"/>
  <c r="H52" i="1"/>
  <c r="H53" i="1" a="1"/>
  <c r="H53" i="1" s="1"/>
  <c r="H54" i="1" a="1"/>
  <c r="H54" i="1"/>
  <c r="H55" i="1" a="1"/>
  <c r="H55" i="1" s="1"/>
  <c r="H56" i="1" a="1"/>
  <c r="H56" i="1"/>
  <c r="H57" i="1" a="1"/>
  <c r="H57" i="1" s="1"/>
  <c r="H58" i="1" a="1"/>
  <c r="H58" i="1"/>
  <c r="H59" i="1" a="1"/>
  <c r="H59" i="1" s="1"/>
  <c r="H60" i="1" a="1"/>
  <c r="H60" i="1"/>
  <c r="H61" i="1" a="1"/>
  <c r="H61" i="1" s="1"/>
  <c r="H62" i="1" a="1"/>
  <c r="H62" i="1"/>
  <c r="H63" i="1" a="1"/>
  <c r="H63" i="1" s="1"/>
  <c r="H64" i="1" a="1"/>
  <c r="H64" i="1"/>
  <c r="H65" i="1" a="1"/>
  <c r="H65" i="1" s="1"/>
  <c r="H66" i="1" a="1"/>
  <c r="H66" i="1"/>
  <c r="H67" i="1" a="1"/>
  <c r="H67" i="1" s="1"/>
  <c r="H68" i="1" a="1"/>
  <c r="H68" i="1"/>
  <c r="H69" i="1" a="1"/>
  <c r="H69" i="1" s="1"/>
  <c r="H70" i="1" a="1"/>
  <c r="H70" i="1"/>
  <c r="H71" i="1" a="1"/>
  <c r="H71" i="1" s="1"/>
  <c r="H72" i="1" a="1"/>
  <c r="H72" i="1"/>
  <c r="H73" i="1" a="1"/>
  <c r="H73" i="1" s="1"/>
  <c r="H74" i="1" a="1"/>
  <c r="H74" i="1"/>
  <c r="H75" i="1" a="1"/>
  <c r="H75" i="1" s="1"/>
  <c r="H76" i="1" a="1"/>
  <c r="H76" i="1"/>
  <c r="H77" i="1" a="1"/>
  <c r="H77" i="1" s="1"/>
  <c r="H78" i="1" a="1"/>
  <c r="H78" i="1"/>
  <c r="H79" i="1" a="1"/>
  <c r="H79" i="1" s="1"/>
  <c r="H80" i="1" a="1"/>
  <c r="H80" i="1"/>
  <c r="H81" i="1" a="1"/>
  <c r="H81" i="1" s="1"/>
  <c r="H82" i="1" a="1"/>
  <c r="H82" i="1"/>
  <c r="H83" i="1" a="1"/>
  <c r="H83" i="1" s="1"/>
  <c r="H84" i="1" a="1"/>
  <c r="H84" i="1" s="1"/>
  <c r="H85" i="1" a="1"/>
  <c r="H85" i="1" s="1"/>
  <c r="H86" i="1" a="1"/>
  <c r="H86" i="1"/>
  <c r="H87" i="1" a="1"/>
  <c r="H87" i="1" s="1"/>
  <c r="H88" i="1" a="1"/>
  <c r="H88" i="1" s="1"/>
  <c r="H89" i="1" a="1"/>
  <c r="H89" i="1" s="1"/>
  <c r="H90" i="1" a="1"/>
  <c r="H90" i="1"/>
  <c r="H91" i="1" a="1"/>
  <c r="H91" i="1" s="1"/>
  <c r="H92" i="1" a="1"/>
  <c r="H92" i="1" s="1"/>
  <c r="H93" i="1" a="1"/>
  <c r="H93" i="1" s="1"/>
  <c r="H94" i="1" a="1"/>
  <c r="H94" i="1"/>
  <c r="H95" i="1" a="1"/>
  <c r="H95" i="1" s="1"/>
  <c r="H96" i="1" a="1"/>
  <c r="H96" i="1" s="1"/>
  <c r="H97" i="1" a="1"/>
  <c r="H97" i="1" s="1"/>
  <c r="H98" i="1" a="1"/>
  <c r="H98" i="1"/>
  <c r="H99" i="1" a="1"/>
  <c r="H99" i="1" s="1"/>
  <c r="H100" i="1" a="1"/>
  <c r="H100" i="1" s="1"/>
  <c r="H101" i="1" a="1"/>
  <c r="H101" i="1" s="1"/>
  <c r="H102" i="1" a="1"/>
  <c r="H102" i="1"/>
  <c r="H103" i="1" a="1"/>
  <c r="H103" i="1" s="1"/>
  <c r="H104" i="1" a="1"/>
  <c r="H104" i="1" s="1"/>
  <c r="H105" i="1" a="1"/>
  <c r="H105" i="1" s="1"/>
  <c r="H106" i="1" a="1"/>
  <c r="H106" i="1"/>
  <c r="H107" i="1" a="1"/>
  <c r="H107" i="1" s="1"/>
  <c r="H108" i="1" a="1"/>
  <c r="H108" i="1" s="1"/>
  <c r="H109" i="1" a="1"/>
  <c r="H109" i="1" s="1"/>
  <c r="H110" i="1" a="1"/>
  <c r="H110" i="1"/>
  <c r="H111" i="1" a="1"/>
  <c r="H111" i="1" s="1"/>
  <c r="H112" i="1" a="1"/>
  <c r="H112" i="1" s="1"/>
  <c r="H113" i="1" a="1"/>
  <c r="H113" i="1" s="1"/>
  <c r="H3" i="1" a="1"/>
  <c r="H3" i="1" s="1"/>
  <c r="H4" i="1" a="1"/>
  <c r="H4" i="1"/>
  <c r="H5" i="1" a="1"/>
  <c r="H5" i="1"/>
  <c r="H6" i="1" a="1"/>
  <c r="H6" i="1" s="1"/>
  <c r="H7" i="1" a="1"/>
  <c r="H7" i="1" s="1"/>
  <c r="H8" i="1" a="1"/>
  <c r="H8" i="1"/>
  <c r="H9" i="1" a="1"/>
  <c r="H9" i="1"/>
  <c r="H10" i="1" a="1"/>
  <c r="H10" i="1"/>
  <c r="H11" i="1" a="1"/>
  <c r="H11" i="1" s="1"/>
  <c r="H12" i="1" a="1"/>
  <c r="H12" i="1"/>
  <c r="H13" i="1" a="1"/>
  <c r="H13" i="1"/>
  <c r="H14" i="1" a="1"/>
  <c r="H14" i="1"/>
  <c r="H2" i="1" a="1"/>
  <c r="H2" i="1" s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D4" i="1"/>
  <c r="D9" i="1"/>
  <c r="D12" i="1"/>
  <c r="D17" i="1"/>
  <c r="D20" i="1"/>
  <c r="D25" i="1"/>
  <c r="D28" i="1"/>
  <c r="D33" i="1"/>
  <c r="D36" i="1"/>
  <c r="D41" i="1"/>
  <c r="D44" i="1"/>
  <c r="D49" i="1"/>
  <c r="D52" i="1"/>
  <c r="D57" i="1"/>
  <c r="D60" i="1"/>
  <c r="D65" i="1"/>
  <c r="D68" i="1"/>
  <c r="D73" i="1"/>
  <c r="D76" i="1"/>
  <c r="D81" i="1"/>
  <c r="D84" i="1"/>
  <c r="D89" i="1"/>
  <c r="D92" i="1"/>
  <c r="D97" i="1"/>
  <c r="D100" i="1"/>
  <c r="D105" i="1"/>
  <c r="D108" i="1"/>
  <c r="C3" i="1"/>
  <c r="D3" i="1" s="1"/>
  <c r="C4" i="1"/>
  <c r="C5" i="1"/>
  <c r="D5" i="1" s="1"/>
  <c r="C6" i="1"/>
  <c r="D6" i="1" s="1"/>
  <c r="C7" i="1"/>
  <c r="D7" i="1" s="1"/>
  <c r="C8" i="1"/>
  <c r="D8" i="1" s="1"/>
  <c r="C9" i="1"/>
  <c r="C10" i="1"/>
  <c r="D10" i="1" s="1"/>
  <c r="C11" i="1"/>
  <c r="D11" i="1" s="1"/>
  <c r="C12" i="1"/>
  <c r="C13" i="1"/>
  <c r="D13" i="1" s="1"/>
  <c r="C14" i="1"/>
  <c r="D14" i="1" s="1"/>
  <c r="C15" i="1"/>
  <c r="D15" i="1" s="1"/>
  <c r="C16" i="1"/>
  <c r="D16" i="1" s="1"/>
  <c r="C17" i="1"/>
  <c r="C18" i="1"/>
  <c r="D18" i="1" s="1"/>
  <c r="C19" i="1"/>
  <c r="D19" i="1" s="1"/>
  <c r="C20" i="1"/>
  <c r="C21" i="1"/>
  <c r="D21" i="1" s="1"/>
  <c r="C22" i="1"/>
  <c r="D22" i="1" s="1"/>
  <c r="C23" i="1"/>
  <c r="D23" i="1" s="1"/>
  <c r="C24" i="1"/>
  <c r="D24" i="1" s="1"/>
  <c r="C25" i="1"/>
  <c r="C26" i="1"/>
  <c r="D26" i="1" s="1"/>
  <c r="C27" i="1"/>
  <c r="D27" i="1" s="1"/>
  <c r="C28" i="1"/>
  <c r="C29" i="1"/>
  <c r="D29" i="1" s="1"/>
  <c r="C30" i="1"/>
  <c r="D30" i="1" s="1"/>
  <c r="C31" i="1"/>
  <c r="D31" i="1" s="1"/>
  <c r="C32" i="1"/>
  <c r="D32" i="1" s="1"/>
  <c r="C33" i="1"/>
  <c r="C34" i="1"/>
  <c r="D34" i="1" s="1"/>
  <c r="C35" i="1"/>
  <c r="D35" i="1" s="1"/>
  <c r="C36" i="1"/>
  <c r="C37" i="1"/>
  <c r="D37" i="1" s="1"/>
  <c r="C38" i="1"/>
  <c r="D38" i="1" s="1"/>
  <c r="C39" i="1"/>
  <c r="D39" i="1" s="1"/>
  <c r="C40" i="1"/>
  <c r="D40" i="1" s="1"/>
  <c r="C41" i="1"/>
  <c r="C42" i="1"/>
  <c r="D42" i="1" s="1"/>
  <c r="C43" i="1"/>
  <c r="D43" i="1" s="1"/>
  <c r="C44" i="1"/>
  <c r="C45" i="1"/>
  <c r="D45" i="1" s="1"/>
  <c r="C46" i="1"/>
  <c r="D46" i="1" s="1"/>
  <c r="C47" i="1"/>
  <c r="D47" i="1" s="1"/>
  <c r="C48" i="1"/>
  <c r="D48" i="1" s="1"/>
  <c r="C49" i="1"/>
  <c r="C50" i="1"/>
  <c r="D50" i="1" s="1"/>
  <c r="C51" i="1"/>
  <c r="D51" i="1" s="1"/>
  <c r="C52" i="1"/>
  <c r="C53" i="1"/>
  <c r="D53" i="1" s="1"/>
  <c r="C54" i="1"/>
  <c r="D54" i="1" s="1"/>
  <c r="C55" i="1"/>
  <c r="D55" i="1" s="1"/>
  <c r="C56" i="1"/>
  <c r="D56" i="1" s="1"/>
  <c r="C57" i="1"/>
  <c r="C58" i="1"/>
  <c r="D58" i="1" s="1"/>
  <c r="C59" i="1"/>
  <c r="D59" i="1" s="1"/>
  <c r="C60" i="1"/>
  <c r="C61" i="1"/>
  <c r="D61" i="1" s="1"/>
  <c r="C62" i="1"/>
  <c r="D62" i="1" s="1"/>
  <c r="C63" i="1"/>
  <c r="D63" i="1" s="1"/>
  <c r="C64" i="1"/>
  <c r="D64" i="1" s="1"/>
  <c r="C65" i="1"/>
  <c r="C66" i="1"/>
  <c r="D66" i="1" s="1"/>
  <c r="C67" i="1"/>
  <c r="D67" i="1" s="1"/>
  <c r="C68" i="1"/>
  <c r="C69" i="1"/>
  <c r="D69" i="1" s="1"/>
  <c r="C70" i="1"/>
  <c r="D70" i="1" s="1"/>
  <c r="C71" i="1"/>
  <c r="D71" i="1" s="1"/>
  <c r="C72" i="1"/>
  <c r="D72" i="1" s="1"/>
  <c r="C73" i="1"/>
  <c r="C74" i="1"/>
  <c r="D74" i="1" s="1"/>
  <c r="C75" i="1"/>
  <c r="D75" i="1" s="1"/>
  <c r="C76" i="1"/>
  <c r="C77" i="1"/>
  <c r="D77" i="1" s="1"/>
  <c r="C78" i="1"/>
  <c r="D78" i="1" s="1"/>
  <c r="C79" i="1"/>
  <c r="D79" i="1" s="1"/>
  <c r="C80" i="1"/>
  <c r="D80" i="1" s="1"/>
  <c r="C81" i="1"/>
  <c r="C82" i="1"/>
  <c r="D82" i="1" s="1"/>
  <c r="C83" i="1"/>
  <c r="D83" i="1" s="1"/>
  <c r="C84" i="1"/>
  <c r="C85" i="1"/>
  <c r="D85" i="1" s="1"/>
  <c r="C86" i="1"/>
  <c r="D86" i="1" s="1"/>
  <c r="C87" i="1"/>
  <c r="D87" i="1" s="1"/>
  <c r="C88" i="1"/>
  <c r="D88" i="1" s="1"/>
  <c r="C89" i="1"/>
  <c r="C90" i="1"/>
  <c r="D90" i="1" s="1"/>
  <c r="C91" i="1"/>
  <c r="D91" i="1" s="1"/>
  <c r="C92" i="1"/>
  <c r="C93" i="1"/>
  <c r="D93" i="1" s="1"/>
  <c r="C94" i="1"/>
  <c r="D94" i="1" s="1"/>
  <c r="C95" i="1"/>
  <c r="D95" i="1" s="1"/>
  <c r="C96" i="1"/>
  <c r="D96" i="1" s="1"/>
  <c r="C97" i="1"/>
  <c r="C98" i="1"/>
  <c r="D98" i="1" s="1"/>
  <c r="C99" i="1"/>
  <c r="D99" i="1" s="1"/>
  <c r="C100" i="1"/>
  <c r="C101" i="1"/>
  <c r="D101" i="1" s="1"/>
  <c r="C102" i="1"/>
  <c r="D102" i="1" s="1"/>
  <c r="C103" i="1"/>
  <c r="D103" i="1" s="1"/>
  <c r="C104" i="1"/>
  <c r="D104" i="1" s="1"/>
  <c r="C105" i="1"/>
  <c r="C106" i="1"/>
  <c r="D106" i="1" s="1"/>
  <c r="C107" i="1"/>
  <c r="D107" i="1" s="1"/>
  <c r="C108" i="1"/>
  <c r="C109" i="1"/>
  <c r="D109" i="1" s="1"/>
  <c r="C110" i="1"/>
  <c r="D110" i="1" s="1"/>
  <c r="C111" i="1"/>
  <c r="D111" i="1" s="1"/>
  <c r="C112" i="1"/>
  <c r="D112" i="1" s="1"/>
  <c r="C113" i="1"/>
  <c r="C2" i="1"/>
  <c r="D2" i="1" s="1"/>
  <c r="E2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<sst xmlns="http://schemas.openxmlformats.org/spreadsheetml/2006/main" count="232" uniqueCount="232">
  <si>
    <t>Name</t>
  </si>
  <si>
    <t>WBS</t>
  </si>
  <si>
    <t>SkillBoost | Your AI Powered Path to Success</t>
  </si>
  <si>
    <t>1</t>
  </si>
  <si>
    <t>Project Initiation</t>
  </si>
  <si>
    <t>2</t>
  </si>
  <si>
    <t>Requirement Gathering</t>
  </si>
  <si>
    <t>2.1</t>
  </si>
  <si>
    <t>Identify Stakeholders</t>
  </si>
  <si>
    <t>2.1.1</t>
  </si>
  <si>
    <t>Gather Requirements</t>
  </si>
  <si>
    <t>2.1.2</t>
  </si>
  <si>
    <t>Analyze Market Needs</t>
  </si>
  <si>
    <t>2.1.3</t>
  </si>
  <si>
    <t>Document Creation</t>
  </si>
  <si>
    <t>2.2</t>
  </si>
  <si>
    <t>Prepare Business Case</t>
  </si>
  <si>
    <t>2.2.1</t>
  </si>
  <si>
    <t>Draft Statement of Work</t>
  </si>
  <si>
    <t>2.2.2</t>
  </si>
  <si>
    <t>Develop Project Charter</t>
  </si>
  <si>
    <t>2.2.3</t>
  </si>
  <si>
    <t>Planning Phase</t>
  </si>
  <si>
    <t>3</t>
  </si>
  <si>
    <t>Define Project Scope</t>
  </si>
  <si>
    <t>3.1</t>
  </si>
  <si>
    <t>Identify Deliverables</t>
  </si>
  <si>
    <t>3.1.1</t>
  </si>
  <si>
    <t>Identify Requirements</t>
  </si>
  <si>
    <t>3.1.2</t>
  </si>
  <si>
    <t>Develop Project Plan</t>
  </si>
  <si>
    <t>3.2</t>
  </si>
  <si>
    <t>Define Project Timeline</t>
  </si>
  <si>
    <t>3.2.1</t>
  </si>
  <si>
    <t>Identify Resources</t>
  </si>
  <si>
    <t>3.2.2</t>
  </si>
  <si>
    <t>Risk Management Planning</t>
  </si>
  <si>
    <t>3.3</t>
  </si>
  <si>
    <t>Identify Risks</t>
  </si>
  <si>
    <t>3.3.1</t>
  </si>
  <si>
    <t>Analyze Risks</t>
  </si>
  <si>
    <t>3.3.2</t>
  </si>
  <si>
    <t>Develop Mitigation Strategies</t>
  </si>
  <si>
    <t>3.3.3</t>
  </si>
  <si>
    <t>Develop Resource Management Plan</t>
  </si>
  <si>
    <t>3.4</t>
  </si>
  <si>
    <t>Identify Resource Needs</t>
  </si>
  <si>
    <t>3.4.1</t>
  </si>
  <si>
    <t>Allocate Resources</t>
  </si>
  <si>
    <t>3.4.2</t>
  </si>
  <si>
    <t>Design And Developemnt</t>
  </si>
  <si>
    <t>4</t>
  </si>
  <si>
    <t>Interface Design</t>
  </si>
  <si>
    <t>4.1</t>
  </si>
  <si>
    <t>Develop Wireframes</t>
  </si>
  <si>
    <t>4.1.1</t>
  </si>
  <si>
    <t>Design Homepage</t>
  </si>
  <si>
    <t>4.1.1.1</t>
  </si>
  <si>
    <t>Design Feature Interface</t>
  </si>
  <si>
    <t>4.1.1.2</t>
  </si>
  <si>
    <t>Design Simukation Interface</t>
  </si>
  <si>
    <t>4.1.1.3</t>
  </si>
  <si>
    <t>User Interaction Testing</t>
  </si>
  <si>
    <t>4.1.2</t>
  </si>
  <si>
    <t>Prepare Testing Plan</t>
  </si>
  <si>
    <t>4.1.2.1</t>
  </si>
  <si>
    <t>Conduct Usability Tests</t>
  </si>
  <si>
    <t>4.1.2.2</t>
  </si>
  <si>
    <t>Analyze User Feedback</t>
  </si>
  <si>
    <t>4.1.2.3</t>
  </si>
  <si>
    <t>Technical Infrastructure</t>
  </si>
  <si>
    <t>4.2</t>
  </si>
  <si>
    <t>Backend Development</t>
  </si>
  <si>
    <t>4.2.1</t>
  </si>
  <si>
    <t>Implement Authentication</t>
  </si>
  <si>
    <t>4.2.1.1</t>
  </si>
  <si>
    <t>Frontend Development</t>
  </si>
  <si>
    <t>4.2.2</t>
  </si>
  <si>
    <t>Design React Components</t>
  </si>
  <si>
    <t>4.2.2.1</t>
  </si>
  <si>
    <t>Create Responsive Layout</t>
  </si>
  <si>
    <t>4.2.2.2</t>
  </si>
  <si>
    <t>Simulation Features</t>
  </si>
  <si>
    <t>4.3</t>
  </si>
  <si>
    <t>AI-Powered Interview Simulation</t>
  </si>
  <si>
    <t>4.3.1</t>
  </si>
  <si>
    <t>Create Question Modules</t>
  </si>
  <si>
    <t>4.3.1.1</t>
  </si>
  <si>
    <t>Categorize Questions</t>
  </si>
  <si>
    <t>4.3.1.1.1</t>
  </si>
  <si>
    <t>Define Scoring Criteria</t>
  </si>
  <si>
    <t>4.3.1.1.2</t>
  </si>
  <si>
    <t>Real-Time Feedback Mechanism</t>
  </si>
  <si>
    <t>4.3.2</t>
  </si>
  <si>
    <t>Develop Feedback Format</t>
  </si>
  <si>
    <t>4.3.2.1</t>
  </si>
  <si>
    <t>Test Feedback Algorithms</t>
  </si>
  <si>
    <t>4.3.2.2</t>
  </si>
  <si>
    <t>Code Optimizer</t>
  </si>
  <si>
    <t>4.4</t>
  </si>
  <si>
    <t>Implement functionality to calculate time complexity</t>
  </si>
  <si>
    <t>4.4.1</t>
  </si>
  <si>
    <t>Implement functionality to calculate space complexity</t>
  </si>
  <si>
    <t>4.4.2</t>
  </si>
  <si>
    <t>Develop logic for identifying inefficiencies</t>
  </si>
  <si>
    <t>4.4.3</t>
  </si>
  <si>
    <t>Resume Analyzer</t>
  </si>
  <si>
    <t>4.5</t>
  </si>
  <si>
    <t>AI-Powered CV Evaluation</t>
  </si>
  <si>
    <t>4.5.1</t>
  </si>
  <si>
    <t>Set Analysis Parameters</t>
  </si>
  <si>
    <t>4.5.1.1</t>
  </si>
  <si>
    <t>Title-Based Filtering</t>
  </si>
  <si>
    <t>4.5.1.1.1</t>
  </si>
  <si>
    <t>Keyword Based Filtering</t>
  </si>
  <si>
    <t>4.5.1.1.2</t>
  </si>
  <si>
    <t>Generate Feedback Reports</t>
  </si>
  <si>
    <t>4.5.2</t>
  </si>
  <si>
    <t>Improvement Suggestions</t>
  </si>
  <si>
    <t>4.5.2.1</t>
  </si>
  <si>
    <t>Integrate Results Dashboard</t>
  </si>
  <si>
    <t>4.5.3</t>
  </si>
  <si>
    <t>Save and Display Results</t>
  </si>
  <si>
    <t>4.5.3.1</t>
  </si>
  <si>
    <t>AI Model Training</t>
  </si>
  <si>
    <t>5</t>
  </si>
  <si>
    <t>Data Collection</t>
  </si>
  <si>
    <t>5.1</t>
  </si>
  <si>
    <t>Candidate Profile Collection</t>
  </si>
  <si>
    <t>5.1.1</t>
  </si>
  <si>
    <t>Research and Identify Data Sources</t>
  </si>
  <si>
    <t>5.1.1.1</t>
  </si>
  <si>
    <t>Gather sample resumes and profiles for training.</t>
  </si>
  <si>
    <t>5.1.1.2</t>
  </si>
  <si>
    <t>Preprocess and clean collected data.</t>
  </si>
  <si>
    <t>5.1.1.3</t>
  </si>
  <si>
    <t>Industry Analysis Data</t>
  </si>
  <si>
    <t>5.1.2</t>
  </si>
  <si>
    <t>Collect industry trends and job market data.</t>
  </si>
  <si>
    <t>5.1.2.1</t>
  </si>
  <si>
    <t>Aggregate required skills for various job roles</t>
  </si>
  <si>
    <t>5.1.2.2</t>
  </si>
  <si>
    <t>Validate and standardize data for use.</t>
  </si>
  <si>
    <t>5.1.2.3</t>
  </si>
  <si>
    <t>Model Development</t>
  </si>
  <si>
    <t>5.2</t>
  </si>
  <si>
    <t>Model Architecture Design</t>
  </si>
  <si>
    <t>5.2.1</t>
  </si>
  <si>
    <t>Define architecture suitable for resume parsing and optimization</t>
  </si>
  <si>
    <t>5.2.1.1</t>
  </si>
  <si>
    <t>Create initial architecture diagrams</t>
  </si>
  <si>
    <t>5.2.1.2</t>
  </si>
  <si>
    <t>Algorithm Training</t>
  </si>
  <si>
    <t>5.3</t>
  </si>
  <si>
    <t>Develop training datasets with labeled data.</t>
  </si>
  <si>
    <t>5.3.1</t>
  </si>
  <si>
    <t>identify optimization techniques to improve accuracy</t>
  </si>
  <si>
    <t>5.3.2</t>
  </si>
  <si>
    <t>Evaluation and Tuning</t>
  </si>
  <si>
    <t>5.4</t>
  </si>
  <si>
    <t>Test the model on unseen data</t>
  </si>
  <si>
    <t>5.4.1</t>
  </si>
  <si>
    <t>Tune hyperparameters</t>
  </si>
  <si>
    <t>5.4.2</t>
  </si>
  <si>
    <t>Create performance evaluation metrics</t>
  </si>
  <si>
    <t>5.4.3</t>
  </si>
  <si>
    <t>Testing and Quality Assurance</t>
  </si>
  <si>
    <t>6</t>
  </si>
  <si>
    <t>Module Testing</t>
  </si>
  <si>
    <t>6.1</t>
  </si>
  <si>
    <t>Interview Simulation Testing</t>
  </si>
  <si>
    <t>6.1.1</t>
  </si>
  <si>
    <t>Code Assessment Testing</t>
  </si>
  <si>
    <t>6.1.2</t>
  </si>
  <si>
    <t>CV Evaluation Testing</t>
  </si>
  <si>
    <t>6.1.3</t>
  </si>
  <si>
    <t>System Integration Testing</t>
  </si>
  <si>
    <t>6.2</t>
  </si>
  <si>
    <t>Backend-Frontend Sync</t>
  </si>
  <si>
    <t>6.2.1</t>
  </si>
  <si>
    <t>AI Model Integration</t>
  </si>
  <si>
    <t>6.2.2</t>
  </si>
  <si>
    <t>User Acceptance Testing</t>
  </si>
  <si>
    <t>6.3</t>
  </si>
  <si>
    <t>Beta User Feedback</t>
  </si>
  <si>
    <t>6.3.1</t>
  </si>
  <si>
    <t>Iterative Improvements Based on Feedback</t>
  </si>
  <si>
    <t>6.3.2</t>
  </si>
  <si>
    <t>Deployment</t>
  </si>
  <si>
    <t>7</t>
  </si>
  <si>
    <t>Setup Hosting</t>
  </si>
  <si>
    <t>7.1</t>
  </si>
  <si>
    <t>Cloud Service Configuration</t>
  </si>
  <si>
    <t>7.1.1</t>
  </si>
  <si>
    <t>Security Protocols</t>
  </si>
  <si>
    <t>7.1.2</t>
  </si>
  <si>
    <t>Final Review and Approval</t>
  </si>
  <si>
    <t>7.2</t>
  </si>
  <si>
    <t>Project Approval</t>
  </si>
  <si>
    <t>7.2.1</t>
  </si>
  <si>
    <t>Deployment Checklist</t>
  </si>
  <si>
    <t>7.2.2</t>
  </si>
  <si>
    <t>Launch</t>
  </si>
  <si>
    <t>7.3</t>
  </si>
  <si>
    <t>Marketing Campaigns</t>
  </si>
  <si>
    <t>7.3.1</t>
  </si>
  <si>
    <t>Platform Launch Event</t>
  </si>
  <si>
    <t>7.3.2</t>
  </si>
  <si>
    <t>Maintenance and Updates</t>
  </si>
  <si>
    <t>8</t>
  </si>
  <si>
    <t>User Support</t>
  </si>
  <si>
    <t>8.1</t>
  </si>
  <si>
    <t>FAQ and Support Resources</t>
  </si>
  <si>
    <t>8.1.1</t>
  </si>
  <si>
    <t>Continuous User Feedback collection</t>
  </si>
  <si>
    <t>8.1.2</t>
  </si>
  <si>
    <t>Platform Enhancements</t>
  </si>
  <si>
    <t>8.2</t>
  </si>
  <si>
    <t>Feature Updates</t>
  </si>
  <si>
    <t>8.2.1</t>
  </si>
  <si>
    <t>AI Model Optimization</t>
  </si>
  <si>
    <t>8.2.2</t>
  </si>
  <si>
    <t>Bug Fixes and Issue Resolution</t>
  </si>
  <si>
    <t>8.3</t>
  </si>
  <si>
    <t>Regular Issue Tracking</t>
  </si>
  <si>
    <t>8.3.1</t>
  </si>
  <si>
    <t>Number of Dots</t>
  </si>
  <si>
    <t>Substitute last dot</t>
  </si>
  <si>
    <t>Location hash</t>
  </si>
  <si>
    <t>get left text</t>
  </si>
  <si>
    <t>Match</t>
  </si>
  <si>
    <t>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</si>
</sst>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workbookViewId="0">
      <selection activeCell="B100" sqref="B100"/>
    </sheetView>
  </sheetViews>
  <sheetFormatPr defaultRowHeight="14.4" x14ac:dyDescent="0.3"/>
  <cols>
    <col min="1" max="1" width="43.5546875" customWidth="1"/>
    <col min="2" max="2" width="14.33203125" customWidth="1"/>
    <col min="3" max="3" width="20.33203125" customWidth="1"/>
    <col min="4" max="4" width="20.44140625" customWidth="1"/>
    <col min="5" max="5" width="17.33203125" customWidth="1"/>
    <col min="6" max="6" width="18.44140625" customWidth="1"/>
    <col min="7" max="7" width="14.88671875" customWidth="1"/>
    <col min="8" max="8" width="32" customWidth="1"/>
  </cols>
  <sheetData>
    <row r="1" spans="1:8" x14ac:dyDescent="0.3">
      <c r="A1" t="s">
        <v>0</v>
      </c>
      <c r="B1" t="s">
        <v>1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</row>
    <row r="2" spans="1:8" x14ac:dyDescent="0.3">
      <c r="A2" t="s">
        <v>2</v>
      </c>
      <c r="B2" t="s">
        <v>3</v>
      </c>
      <c r="C2">
        <f>LEN(B2)-LEN(SUBSTITUTE(B2,".",""))</f>
        <v>0</v>
      </c>
      <c r="D2" t="e">
        <f>SUBSTITUTE(B2,".","#",C2)</f>
        <v>#VALUE!</v>
      </c>
      <c r="E2" t="e">
        <f>FIND("#",D2)</f>
        <v>#VALUE!</v>
      </c>
      <c r="F2" t="e">
        <f>LEFT(B2,E2-1)</f>
        <v>#VALUE!</v>
      </c>
      <c r="G2" t="e">
        <f>MATCH(F2,$B$2:$B$113)</f>
        <v>#VALUE!</v>
      </c>
      <c r="H2" t="str" cm="1">
        <f t="array" ref="H2">IFERROR(INDEX(A$2:A$113,G2),"")</f>
        <v/>
      </c>
    </row>
    <row r="3" spans="1:8" x14ac:dyDescent="0.3">
      <c r="A3" t="s">
        <v>4</v>
      </c>
      <c r="B3" t="s">
        <v>5</v>
      </c>
      <c r="C3">
        <f t="shared" ref="C3:C66" si="0">LEN(B3)-LEN(SUBSTITUTE(B3,".",""))</f>
        <v>0</v>
      </c>
      <c r="D3" t="e">
        <f t="shared" ref="D3:D66" si="1">SUBSTITUTE(B3,".","#",C3)</f>
        <v>#VALUE!</v>
      </c>
      <c r="E3" t="e">
        <f t="shared" ref="E3:E66" si="2">FIND("#",D3)</f>
        <v>#VALUE!</v>
      </c>
      <c r="F3" t="e">
        <f t="shared" ref="F3:F66" si="3">LEFT(B3,E3-1)</f>
        <v>#VALUE!</v>
      </c>
      <c r="G3" t="e">
        <f t="shared" ref="G3:G66" si="4">MATCH(F3,$B$2:$B$113)</f>
        <v>#VALUE!</v>
      </c>
      <c r="H3" t="str" cm="1">
        <f t="array" ref="H3">IFERROR(INDEX(A$2:A$113,G3),"")</f>
        <v/>
      </c>
    </row>
    <row r="4" spans="1:8" x14ac:dyDescent="0.3">
      <c r="A4" t="s">
        <v>6</v>
      </c>
      <c r="B4" t="s">
        <v>7</v>
      </c>
      <c r="C4">
        <f t="shared" si="0"/>
        <v>1</v>
      </c>
      <c r="D4" t="str">
        <f t="shared" si="1"/>
        <v>2#1</v>
      </c>
      <c r="E4">
        <f t="shared" si="2"/>
        <v>2</v>
      </c>
      <c r="F4" t="str">
        <f t="shared" si="3"/>
        <v>2</v>
      </c>
      <c r="G4">
        <f t="shared" si="4"/>
        <v>2</v>
      </c>
      <c r="H4" t="str" cm="1">
        <f t="array" ref="H4">IFERROR(INDEX(A$2:A$113,G4),"")</f>
        <v>Project Initiation</v>
      </c>
    </row>
    <row r="5" spans="1:8" x14ac:dyDescent="0.3">
      <c r="A5" t="s">
        <v>8</v>
      </c>
      <c r="B5" t="s">
        <v>9</v>
      </c>
      <c r="C5">
        <f t="shared" si="0"/>
        <v>2</v>
      </c>
      <c r="D5" t="str">
        <f t="shared" si="1"/>
        <v>2.1#1</v>
      </c>
      <c r="E5">
        <f t="shared" si="2"/>
        <v>4</v>
      </c>
      <c r="F5" t="str">
        <f t="shared" si="3"/>
        <v>2.1</v>
      </c>
      <c r="G5">
        <f t="shared" si="4"/>
        <v>3</v>
      </c>
      <c r="H5" t="str" cm="1">
        <f t="array" ref="H5">IFERROR(INDEX(A$2:A$113,G5),"")</f>
        <v>Requirement Gathering</v>
      </c>
    </row>
    <row r="6" spans="1:8" x14ac:dyDescent="0.3">
      <c r="A6" t="s">
        <v>10</v>
      </c>
      <c r="B6" t="s">
        <v>11</v>
      </c>
      <c r="C6">
        <f t="shared" si="0"/>
        <v>2</v>
      </c>
      <c r="D6" t="str">
        <f t="shared" si="1"/>
        <v>2.1#2</v>
      </c>
      <c r="E6">
        <f t="shared" si="2"/>
        <v>4</v>
      </c>
      <c r="F6" t="str">
        <f t="shared" si="3"/>
        <v>2.1</v>
      </c>
      <c r="G6">
        <f t="shared" si="4"/>
        <v>3</v>
      </c>
      <c r="H6" t="str" cm="1">
        <f t="array" ref="H6">IFERROR(INDEX(A$2:A$113,G6),"")</f>
        <v>Requirement Gathering</v>
      </c>
    </row>
    <row r="7" spans="1:8" x14ac:dyDescent="0.3">
      <c r="A7" t="s">
        <v>12</v>
      </c>
      <c r="B7" t="s">
        <v>13</v>
      </c>
      <c r="C7">
        <f t="shared" si="0"/>
        <v>2</v>
      </c>
      <c r="D7" t="str">
        <f t="shared" si="1"/>
        <v>2.1#3</v>
      </c>
      <c r="E7">
        <f t="shared" si="2"/>
        <v>4</v>
      </c>
      <c r="F7" t="str">
        <f t="shared" si="3"/>
        <v>2.1</v>
      </c>
      <c r="G7">
        <f t="shared" si="4"/>
        <v>3</v>
      </c>
      <c r="H7" t="str" cm="1">
        <f t="array" ref="H7">IFERROR(INDEX(A$2:A$113,G7),"")</f>
        <v>Requirement Gathering</v>
      </c>
    </row>
    <row r="8" spans="1:8" x14ac:dyDescent="0.3">
      <c r="A8" t="s">
        <v>14</v>
      </c>
      <c r="B8" t="s">
        <v>15</v>
      </c>
      <c r="C8">
        <f t="shared" si="0"/>
        <v>1</v>
      </c>
      <c r="D8" t="str">
        <f t="shared" si="1"/>
        <v>2#2</v>
      </c>
      <c r="E8">
        <f t="shared" si="2"/>
        <v>2</v>
      </c>
      <c r="F8" t="str">
        <f t="shared" si="3"/>
        <v>2</v>
      </c>
      <c r="G8">
        <f t="shared" si="4"/>
        <v>2</v>
      </c>
      <c r="H8" t="str" cm="1">
        <f t="array" ref="H8">IFERROR(INDEX(A$2:A$113,G8),"")</f>
        <v>Project Initiation</v>
      </c>
    </row>
    <row r="9" spans="1:8" x14ac:dyDescent="0.3">
      <c r="A9" t="s">
        <v>16</v>
      </c>
      <c r="B9" t="s">
        <v>17</v>
      </c>
      <c r="C9">
        <f t="shared" si="0"/>
        <v>2</v>
      </c>
      <c r="D9" t="str">
        <f t="shared" si="1"/>
        <v>2.2#1</v>
      </c>
      <c r="E9">
        <f t="shared" si="2"/>
        <v>4</v>
      </c>
      <c r="F9" t="str">
        <f t="shared" si="3"/>
        <v>2.2</v>
      </c>
      <c r="G9">
        <f t="shared" si="4"/>
        <v>7</v>
      </c>
      <c r="H9" t="str" cm="1">
        <f t="array" ref="H9">IFERROR(INDEX(A$2:A$113,G9),"")</f>
        <v>Document Creation</v>
      </c>
    </row>
    <row r="10" spans="1:8" x14ac:dyDescent="0.3">
      <c r="A10" t="s">
        <v>18</v>
      </c>
      <c r="B10" t="s">
        <v>19</v>
      </c>
      <c r="C10">
        <f t="shared" si="0"/>
        <v>2</v>
      </c>
      <c r="D10" t="str">
        <f t="shared" si="1"/>
        <v>2.2#2</v>
      </c>
      <c r="E10">
        <f t="shared" si="2"/>
        <v>4</v>
      </c>
      <c r="F10" t="str">
        <f t="shared" si="3"/>
        <v>2.2</v>
      </c>
      <c r="G10">
        <f t="shared" si="4"/>
        <v>7</v>
      </c>
      <c r="H10" t="str" cm="1">
        <f t="array" ref="H10">IFERROR(INDEX(A$2:A$113,G10),"")</f>
        <v>Document Creation</v>
      </c>
    </row>
    <row r="11" spans="1:8" x14ac:dyDescent="0.3">
      <c r="A11" t="s">
        <v>20</v>
      </c>
      <c r="B11" t="s">
        <v>21</v>
      </c>
      <c r="C11">
        <f t="shared" si="0"/>
        <v>2</v>
      </c>
      <c r="D11" t="str">
        <f t="shared" si="1"/>
        <v>2.2#3</v>
      </c>
      <c r="E11">
        <f t="shared" si="2"/>
        <v>4</v>
      </c>
      <c r="F11" t="str">
        <f t="shared" si="3"/>
        <v>2.2</v>
      </c>
      <c r="G11">
        <f t="shared" si="4"/>
        <v>7</v>
      </c>
      <c r="H11" t="str" cm="1">
        <f t="array" ref="H11">IFERROR(INDEX(A$2:A$113,G11),"")</f>
        <v>Document Creation</v>
      </c>
    </row>
    <row r="12" spans="1:8" x14ac:dyDescent="0.3">
      <c r="A12" t="s">
        <v>22</v>
      </c>
      <c r="B12" t="s">
        <v>23</v>
      </c>
      <c r="C12">
        <f t="shared" si="0"/>
        <v>0</v>
      </c>
      <c r="D12" t="e">
        <f t="shared" si="1"/>
        <v>#VALUE!</v>
      </c>
      <c r="E12" t="e">
        <f t="shared" si="2"/>
        <v>#VALUE!</v>
      </c>
      <c r="F12" t="e">
        <f t="shared" si="3"/>
        <v>#VALUE!</v>
      </c>
      <c r="G12" t="e">
        <f t="shared" si="4"/>
        <v>#VALUE!</v>
      </c>
      <c r="H12" t="str" cm="1">
        <f t="array" ref="H12">IFERROR(INDEX(A$2:A$113,G12),"")</f>
        <v/>
      </c>
    </row>
    <row r="13" spans="1:8" x14ac:dyDescent="0.3">
      <c r="A13" t="s">
        <v>24</v>
      </c>
      <c r="B13" t="s">
        <v>25</v>
      </c>
      <c r="C13">
        <f t="shared" si="0"/>
        <v>1</v>
      </c>
      <c r="D13" t="str">
        <f t="shared" si="1"/>
        <v>3#1</v>
      </c>
      <c r="E13">
        <f t="shared" si="2"/>
        <v>2</v>
      </c>
      <c r="F13" t="str">
        <f t="shared" si="3"/>
        <v>3</v>
      </c>
      <c r="G13">
        <f t="shared" si="4"/>
        <v>11</v>
      </c>
      <c r="H13" t="str" cm="1">
        <f t="array" ref="H13">IFERROR(INDEX(A$2:A$113,G13),"")</f>
        <v>Planning Phase</v>
      </c>
    </row>
    <row r="14" spans="1:8" x14ac:dyDescent="0.3">
      <c r="A14" t="s">
        <v>26</v>
      </c>
      <c r="B14" t="s">
        <v>27</v>
      </c>
      <c r="C14">
        <f t="shared" si="0"/>
        <v>2</v>
      </c>
      <c r="D14" t="str">
        <f t="shared" si="1"/>
        <v>3.1#1</v>
      </c>
      <c r="E14">
        <f t="shared" si="2"/>
        <v>4</v>
      </c>
      <c r="F14" t="str">
        <f t="shared" si="3"/>
        <v>3.1</v>
      </c>
      <c r="G14">
        <f t="shared" si="4"/>
        <v>12</v>
      </c>
      <c r="H14" t="str" cm="1">
        <f t="array" ref="H14">IFERROR(INDEX(A$2:A$113,G14),"")</f>
        <v>Define Project Scope</v>
      </c>
    </row>
    <row r="15" spans="1:8" x14ac:dyDescent="0.3">
      <c r="A15" t="s">
        <v>28</v>
      </c>
      <c r="B15" t="s">
        <v>29</v>
      </c>
      <c r="C15">
        <f t="shared" si="0"/>
        <v>2</v>
      </c>
      <c r="D15" t="str">
        <f t="shared" si="1"/>
        <v>3.1#2</v>
      </c>
      <c r="E15">
        <f t="shared" si="2"/>
        <v>4</v>
      </c>
      <c r="F15" t="str">
        <f t="shared" si="3"/>
        <v>3.1</v>
      </c>
      <c r="G15">
        <f t="shared" si="4"/>
        <v>12</v>
      </c>
      <c r="H15" t="str" cm="1">
        <f t="array" ref="H15">IFERROR(INDEX(A$2:A$113,G15),"")</f>
        <v>Define Project Scope</v>
      </c>
    </row>
    <row r="16" spans="1:8" x14ac:dyDescent="0.3">
      <c r="A16" t="s">
        <v>30</v>
      </c>
      <c r="B16" t="s">
        <v>31</v>
      </c>
      <c r="C16">
        <f t="shared" si="0"/>
        <v>1</v>
      </c>
      <c r="D16" t="str">
        <f t="shared" si="1"/>
        <v>3#2</v>
      </c>
      <c r="E16">
        <f t="shared" si="2"/>
        <v>2</v>
      </c>
      <c r="F16" t="str">
        <f t="shared" si="3"/>
        <v>3</v>
      </c>
      <c r="G16">
        <f t="shared" si="4"/>
        <v>11</v>
      </c>
      <c r="H16" t="str" cm="1">
        <f t="array" ref="H16">IFERROR(INDEX(A$2:A$113,G16),"")</f>
        <v>Planning Phase</v>
      </c>
    </row>
    <row r="17" spans="1:8" x14ac:dyDescent="0.3">
      <c r="A17" t="s">
        <v>32</v>
      </c>
      <c r="B17" t="s">
        <v>33</v>
      </c>
      <c r="C17">
        <f t="shared" si="0"/>
        <v>2</v>
      </c>
      <c r="D17" t="str">
        <f t="shared" si="1"/>
        <v>3.2#1</v>
      </c>
      <c r="E17">
        <f t="shared" si="2"/>
        <v>4</v>
      </c>
      <c r="F17" t="str">
        <f t="shared" si="3"/>
        <v>3.2</v>
      </c>
      <c r="G17">
        <f t="shared" si="4"/>
        <v>15</v>
      </c>
      <c r="H17" t="str" cm="1">
        <f t="array" ref="H17">IFERROR(INDEX(A$2:A$113,G17),"")</f>
        <v>Develop Project Plan</v>
      </c>
    </row>
    <row r="18" spans="1:8" x14ac:dyDescent="0.3">
      <c r="A18" t="s">
        <v>34</v>
      </c>
      <c r="B18" t="s">
        <v>35</v>
      </c>
      <c r="C18">
        <f t="shared" si="0"/>
        <v>2</v>
      </c>
      <c r="D18" t="str">
        <f t="shared" si="1"/>
        <v>3.2#2</v>
      </c>
      <c r="E18">
        <f t="shared" si="2"/>
        <v>4</v>
      </c>
      <c r="F18" t="str">
        <f t="shared" si="3"/>
        <v>3.2</v>
      </c>
      <c r="G18">
        <f t="shared" si="4"/>
        <v>15</v>
      </c>
      <c r="H18" t="str" cm="1">
        <f t="array" ref="H18">IFERROR(INDEX(A$2:A$113,G18),"")</f>
        <v>Develop Project Plan</v>
      </c>
    </row>
    <row r="19" spans="1:8" x14ac:dyDescent="0.3">
      <c r="A19" t="s">
        <v>36</v>
      </c>
      <c r="B19" t="s">
        <v>37</v>
      </c>
      <c r="C19">
        <f t="shared" si="0"/>
        <v>1</v>
      </c>
      <c r="D19" t="str">
        <f t="shared" si="1"/>
        <v>3#3</v>
      </c>
      <c r="E19">
        <f t="shared" si="2"/>
        <v>2</v>
      </c>
      <c r="F19" t="str">
        <f t="shared" si="3"/>
        <v>3</v>
      </c>
      <c r="G19">
        <f t="shared" si="4"/>
        <v>11</v>
      </c>
      <c r="H19" t="str" cm="1">
        <f t="array" ref="H19">IFERROR(INDEX(A$2:A$113,G19),"")</f>
        <v>Planning Phase</v>
      </c>
    </row>
    <row r="20" spans="1:8" x14ac:dyDescent="0.3">
      <c r="A20" t="s">
        <v>38</v>
      </c>
      <c r="B20" t="s">
        <v>39</v>
      </c>
      <c r="C20">
        <f t="shared" si="0"/>
        <v>2</v>
      </c>
      <c r="D20" t="str">
        <f t="shared" si="1"/>
        <v>3.3#1</v>
      </c>
      <c r="E20">
        <f t="shared" si="2"/>
        <v>4</v>
      </c>
      <c r="F20" t="str">
        <f t="shared" si="3"/>
        <v>3.3</v>
      </c>
      <c r="G20">
        <f t="shared" si="4"/>
        <v>18</v>
      </c>
      <c r="H20" t="str" cm="1">
        <f t="array" ref="H20">IFERROR(INDEX(A$2:A$113,G20),"")</f>
        <v>Risk Management Planning</v>
      </c>
    </row>
    <row r="21" spans="1:8" x14ac:dyDescent="0.3">
      <c r="A21" t="s">
        <v>40</v>
      </c>
      <c r="B21" t="s">
        <v>41</v>
      </c>
      <c r="C21">
        <f t="shared" si="0"/>
        <v>2</v>
      </c>
      <c r="D21" t="str">
        <f t="shared" si="1"/>
        <v>3.3#2</v>
      </c>
      <c r="E21">
        <f t="shared" si="2"/>
        <v>4</v>
      </c>
      <c r="F21" t="str">
        <f t="shared" si="3"/>
        <v>3.3</v>
      </c>
      <c r="G21">
        <f t="shared" si="4"/>
        <v>18</v>
      </c>
      <c r="H21" t="str" cm="1">
        <f t="array" ref="H21">IFERROR(INDEX(A$2:A$113,G21),"")</f>
        <v>Risk Management Planning</v>
      </c>
    </row>
    <row r="22" spans="1:8" x14ac:dyDescent="0.3">
      <c r="A22" t="s">
        <v>42</v>
      </c>
      <c r="B22" t="s">
        <v>43</v>
      </c>
      <c r="C22">
        <f t="shared" si="0"/>
        <v>2</v>
      </c>
      <c r="D22" t="str">
        <f t="shared" si="1"/>
        <v>3.3#3</v>
      </c>
      <c r="E22">
        <f t="shared" si="2"/>
        <v>4</v>
      </c>
      <c r="F22" t="str">
        <f t="shared" si="3"/>
        <v>3.3</v>
      </c>
      <c r="G22">
        <f t="shared" si="4"/>
        <v>18</v>
      </c>
      <c r="H22" t="str" cm="1">
        <f t="array" ref="H22">IFERROR(INDEX(A$2:A$113,G22),"")</f>
        <v>Risk Management Planning</v>
      </c>
    </row>
    <row r="23" spans="1:8" x14ac:dyDescent="0.3">
      <c r="A23" t="s">
        <v>44</v>
      </c>
      <c r="B23" t="s">
        <v>45</v>
      </c>
      <c r="C23">
        <f t="shared" si="0"/>
        <v>1</v>
      </c>
      <c r="D23" t="str">
        <f t="shared" si="1"/>
        <v>3#4</v>
      </c>
      <c r="E23">
        <f t="shared" si="2"/>
        <v>2</v>
      </c>
      <c r="F23" t="str">
        <f t="shared" si="3"/>
        <v>3</v>
      </c>
      <c r="G23">
        <f t="shared" si="4"/>
        <v>11</v>
      </c>
      <c r="H23" t="str" cm="1">
        <f t="array" ref="H23">IFERROR(INDEX(A$2:A$113,G23),"")</f>
        <v>Planning Phase</v>
      </c>
    </row>
    <row r="24" spans="1:8" x14ac:dyDescent="0.3">
      <c r="A24" t="s">
        <v>46</v>
      </c>
      <c r="B24" t="s">
        <v>47</v>
      </c>
      <c r="C24">
        <f t="shared" si="0"/>
        <v>2</v>
      </c>
      <c r="D24" t="str">
        <f t="shared" si="1"/>
        <v>3.4#1</v>
      </c>
      <c r="E24">
        <f t="shared" si="2"/>
        <v>4</v>
      </c>
      <c r="F24" t="str">
        <f t="shared" si="3"/>
        <v>3.4</v>
      </c>
      <c r="G24">
        <f t="shared" si="4"/>
        <v>22</v>
      </c>
      <c r="H24" t="str" cm="1">
        <f t="array" ref="H24">IFERROR(INDEX(A$2:A$113,G24),"")</f>
        <v>Develop Resource Management Plan</v>
      </c>
    </row>
    <row r="25" spans="1:8" x14ac:dyDescent="0.3">
      <c r="A25" t="s">
        <v>48</v>
      </c>
      <c r="B25" t="s">
        <v>49</v>
      </c>
      <c r="C25">
        <f t="shared" si="0"/>
        <v>2</v>
      </c>
      <c r="D25" t="str">
        <f t="shared" si="1"/>
        <v>3.4#2</v>
      </c>
      <c r="E25">
        <f t="shared" si="2"/>
        <v>4</v>
      </c>
      <c r="F25" t="str">
        <f t="shared" si="3"/>
        <v>3.4</v>
      </c>
      <c r="G25">
        <f t="shared" si="4"/>
        <v>22</v>
      </c>
      <c r="H25" t="str" cm="1">
        <f t="array" ref="H25">IFERROR(INDEX(A$2:A$113,G25),"")</f>
        <v>Develop Resource Management Plan</v>
      </c>
    </row>
    <row r="26" spans="1:8" x14ac:dyDescent="0.3">
      <c r="A26" t="s">
        <v>50</v>
      </c>
      <c r="B26" t="s">
        <v>51</v>
      </c>
      <c r="C26">
        <f t="shared" si="0"/>
        <v>0</v>
      </c>
      <c r="D26" t="e">
        <f t="shared" si="1"/>
        <v>#VALUE!</v>
      </c>
      <c r="E26" t="e">
        <f t="shared" si="2"/>
        <v>#VALUE!</v>
      </c>
      <c r="F26" t="e">
        <f t="shared" si="3"/>
        <v>#VALUE!</v>
      </c>
      <c r="G26" t="e">
        <f t="shared" si="4"/>
        <v>#VALUE!</v>
      </c>
      <c r="H26" t="str" cm="1">
        <f t="array" ref="H26">IFERROR(INDEX(A$2:A$113,G26),"")</f>
        <v/>
      </c>
    </row>
    <row r="27" spans="1:8" x14ac:dyDescent="0.3">
      <c r="A27" t="s">
        <v>52</v>
      </c>
      <c r="B27" t="s">
        <v>53</v>
      </c>
      <c r="C27">
        <f t="shared" si="0"/>
        <v>1</v>
      </c>
      <c r="D27" t="str">
        <f t="shared" si="1"/>
        <v>4#1</v>
      </c>
      <c r="E27">
        <f t="shared" si="2"/>
        <v>2</v>
      </c>
      <c r="F27" t="str">
        <f t="shared" si="3"/>
        <v>4</v>
      </c>
      <c r="G27">
        <f t="shared" si="4"/>
        <v>25</v>
      </c>
      <c r="H27" t="str" cm="1">
        <f t="array" ref="H27">IFERROR(INDEX(A$2:A$113,G27),"")</f>
        <v>Design And Developemnt</v>
      </c>
    </row>
    <row r="28" spans="1:8" x14ac:dyDescent="0.3">
      <c r="A28" t="s">
        <v>54</v>
      </c>
      <c r="B28" t="s">
        <v>55</v>
      </c>
      <c r="C28">
        <f t="shared" si="0"/>
        <v>2</v>
      </c>
      <c r="D28" t="str">
        <f t="shared" si="1"/>
        <v>4.1#1</v>
      </c>
      <c r="E28">
        <f t="shared" si="2"/>
        <v>4</v>
      </c>
      <c r="F28" t="str">
        <f t="shared" si="3"/>
        <v>4.1</v>
      </c>
      <c r="G28">
        <f t="shared" si="4"/>
        <v>26</v>
      </c>
      <c r="H28" t="str" cm="1">
        <f t="array" ref="H28">IFERROR(INDEX(A$2:A$113,G28),"")</f>
        <v>Interface Design</v>
      </c>
    </row>
    <row r="29" spans="1:8" x14ac:dyDescent="0.3">
      <c r="A29" t="s">
        <v>56</v>
      </c>
      <c r="B29" t="s">
        <v>57</v>
      </c>
      <c r="C29">
        <f t="shared" si="0"/>
        <v>3</v>
      </c>
      <c r="D29" t="str">
        <f t="shared" si="1"/>
        <v>4.1.1#1</v>
      </c>
      <c r="E29">
        <f t="shared" si="2"/>
        <v>6</v>
      </c>
      <c r="F29" t="str">
        <f t="shared" si="3"/>
        <v>4.1.1</v>
      </c>
      <c r="G29">
        <f t="shared" si="4"/>
        <v>27</v>
      </c>
      <c r="H29" t="str" cm="1">
        <f t="array" ref="H29">IFERROR(INDEX(A$2:A$113,G29),"")</f>
        <v>Develop Wireframes</v>
      </c>
    </row>
    <row r="30" spans="1:8" x14ac:dyDescent="0.3">
      <c r="A30" t="s">
        <v>58</v>
      </c>
      <c r="B30" t="s">
        <v>59</v>
      </c>
      <c r="C30">
        <f t="shared" si="0"/>
        <v>3</v>
      </c>
      <c r="D30" t="str">
        <f t="shared" si="1"/>
        <v>4.1.1#2</v>
      </c>
      <c r="E30">
        <f t="shared" si="2"/>
        <v>6</v>
      </c>
      <c r="F30" t="str">
        <f t="shared" si="3"/>
        <v>4.1.1</v>
      </c>
      <c r="G30">
        <f t="shared" si="4"/>
        <v>27</v>
      </c>
      <c r="H30" t="str" cm="1">
        <f t="array" ref="H30">IFERROR(INDEX(A$2:A$113,G30),"")</f>
        <v>Develop Wireframes</v>
      </c>
    </row>
    <row r="31" spans="1:8" x14ac:dyDescent="0.3">
      <c r="A31" t="s">
        <v>60</v>
      </c>
      <c r="B31" t="s">
        <v>61</v>
      </c>
      <c r="C31">
        <f t="shared" si="0"/>
        <v>3</v>
      </c>
      <c r="D31" t="str">
        <f t="shared" si="1"/>
        <v>4.1.1#3</v>
      </c>
      <c r="E31">
        <f t="shared" si="2"/>
        <v>6</v>
      </c>
      <c r="F31" t="str">
        <f t="shared" si="3"/>
        <v>4.1.1</v>
      </c>
      <c r="G31">
        <f t="shared" si="4"/>
        <v>27</v>
      </c>
      <c r="H31" t="str" cm="1">
        <f t="array" ref="H31">IFERROR(INDEX(A$2:A$113,G31),"")</f>
        <v>Develop Wireframes</v>
      </c>
    </row>
    <row r="32" spans="1:8" x14ac:dyDescent="0.3">
      <c r="A32" t="s">
        <v>62</v>
      </c>
      <c r="B32" t="s">
        <v>63</v>
      </c>
      <c r="C32">
        <f t="shared" si="0"/>
        <v>2</v>
      </c>
      <c r="D32" t="str">
        <f t="shared" si="1"/>
        <v>4.1#2</v>
      </c>
      <c r="E32">
        <f t="shared" si="2"/>
        <v>4</v>
      </c>
      <c r="F32" t="str">
        <f t="shared" si="3"/>
        <v>4.1</v>
      </c>
      <c r="G32">
        <f t="shared" si="4"/>
        <v>26</v>
      </c>
      <c r="H32" t="str" cm="1">
        <f t="array" ref="H32">IFERROR(INDEX(A$2:A$113,G32),"")</f>
        <v>Interface Design</v>
      </c>
    </row>
    <row r="33" spans="1:8" x14ac:dyDescent="0.3">
      <c r="A33" t="s">
        <v>64</v>
      </c>
      <c r="B33" t="s">
        <v>65</v>
      </c>
      <c r="C33">
        <f t="shared" si="0"/>
        <v>3</v>
      </c>
      <c r="D33" t="str">
        <f t="shared" si="1"/>
        <v>4.1.2#1</v>
      </c>
      <c r="E33">
        <f t="shared" si="2"/>
        <v>6</v>
      </c>
      <c r="F33" t="str">
        <f t="shared" si="3"/>
        <v>4.1.2</v>
      </c>
      <c r="G33">
        <f t="shared" si="4"/>
        <v>31</v>
      </c>
      <c r="H33" t="str" cm="1">
        <f t="array" ref="H33">IFERROR(INDEX(A$2:A$113,G33),"")</f>
        <v>User Interaction Testing</v>
      </c>
    </row>
    <row r="34" spans="1:8" x14ac:dyDescent="0.3">
      <c r="A34" t="s">
        <v>66</v>
      </c>
      <c r="B34" t="s">
        <v>67</v>
      </c>
      <c r="C34">
        <f t="shared" si="0"/>
        <v>3</v>
      </c>
      <c r="D34" t="str">
        <f t="shared" si="1"/>
        <v>4.1.2#2</v>
      </c>
      <c r="E34">
        <f t="shared" si="2"/>
        <v>6</v>
      </c>
      <c r="F34" t="str">
        <f t="shared" si="3"/>
        <v>4.1.2</v>
      </c>
      <c r="G34">
        <f t="shared" si="4"/>
        <v>31</v>
      </c>
      <c r="H34" t="str" cm="1">
        <f t="array" ref="H34">IFERROR(INDEX(A$2:A$113,G34),"")</f>
        <v>User Interaction Testing</v>
      </c>
    </row>
    <row r="35" spans="1:8" x14ac:dyDescent="0.3">
      <c r="A35" t="s">
        <v>68</v>
      </c>
      <c r="B35" t="s">
        <v>69</v>
      </c>
      <c r="C35">
        <f t="shared" si="0"/>
        <v>3</v>
      </c>
      <c r="D35" t="str">
        <f t="shared" si="1"/>
        <v>4.1.2#3</v>
      </c>
      <c r="E35">
        <f t="shared" si="2"/>
        <v>6</v>
      </c>
      <c r="F35" t="str">
        <f t="shared" si="3"/>
        <v>4.1.2</v>
      </c>
      <c r="G35">
        <f t="shared" si="4"/>
        <v>31</v>
      </c>
      <c r="H35" t="str" cm="1">
        <f t="array" ref="H35">IFERROR(INDEX(A$2:A$113,G35),"")</f>
        <v>User Interaction Testing</v>
      </c>
    </row>
    <row r="36" spans="1:8" x14ac:dyDescent="0.3">
      <c r="A36" t="s">
        <v>70</v>
      </c>
      <c r="B36" t="s">
        <v>71</v>
      </c>
      <c r="C36">
        <f t="shared" si="0"/>
        <v>1</v>
      </c>
      <c r="D36" t="str">
        <f t="shared" si="1"/>
        <v>4#2</v>
      </c>
      <c r="E36">
        <f t="shared" si="2"/>
        <v>2</v>
      </c>
      <c r="F36" t="str">
        <f t="shared" si="3"/>
        <v>4</v>
      </c>
      <c r="G36">
        <f t="shared" si="4"/>
        <v>25</v>
      </c>
      <c r="H36" t="str" cm="1">
        <f t="array" ref="H36">IFERROR(INDEX(A$2:A$113,G36),"")</f>
        <v>Design And Developemnt</v>
      </c>
    </row>
    <row r="37" spans="1:8" x14ac:dyDescent="0.3">
      <c r="A37" t="s">
        <v>72</v>
      </c>
      <c r="B37" t="s">
        <v>73</v>
      </c>
      <c r="C37">
        <f t="shared" si="0"/>
        <v>2</v>
      </c>
      <c r="D37" t="str">
        <f t="shared" si="1"/>
        <v>4.2#1</v>
      </c>
      <c r="E37">
        <f t="shared" si="2"/>
        <v>4</v>
      </c>
      <c r="F37" t="str">
        <f t="shared" si="3"/>
        <v>4.2</v>
      </c>
      <c r="G37">
        <f t="shared" si="4"/>
        <v>35</v>
      </c>
      <c r="H37" t="str" cm="1">
        <f t="array" ref="H37">IFERROR(INDEX(A$2:A$113,G37),"")</f>
        <v>Technical Infrastructure</v>
      </c>
    </row>
    <row r="38" spans="1:8" x14ac:dyDescent="0.3">
      <c r="A38" t="s">
        <v>74</v>
      </c>
      <c r="B38" t="s">
        <v>75</v>
      </c>
      <c r="C38">
        <f t="shared" si="0"/>
        <v>3</v>
      </c>
      <c r="D38" t="str">
        <f t="shared" si="1"/>
        <v>4.2.1#1</v>
      </c>
      <c r="E38">
        <f t="shared" si="2"/>
        <v>6</v>
      </c>
      <c r="F38" t="str">
        <f t="shared" si="3"/>
        <v>4.2.1</v>
      </c>
      <c r="G38">
        <f t="shared" si="4"/>
        <v>36</v>
      </c>
      <c r="H38" t="str" cm="1">
        <f t="array" ref="H38">IFERROR(INDEX(A$2:A$113,G38),"")</f>
        <v>Backend Development</v>
      </c>
    </row>
    <row r="39" spans="1:8" x14ac:dyDescent="0.3">
      <c r="A39" t="s">
        <v>76</v>
      </c>
      <c r="B39" t="s">
        <v>77</v>
      </c>
      <c r="C39">
        <f t="shared" si="0"/>
        <v>2</v>
      </c>
      <c r="D39" t="str">
        <f t="shared" si="1"/>
        <v>4.2#2</v>
      </c>
      <c r="E39">
        <f t="shared" si="2"/>
        <v>4</v>
      </c>
      <c r="F39" t="str">
        <f t="shared" si="3"/>
        <v>4.2</v>
      </c>
      <c r="G39">
        <f t="shared" si="4"/>
        <v>35</v>
      </c>
      <c r="H39" t="str" cm="1">
        <f t="array" ref="H39">IFERROR(INDEX(A$2:A$113,G39),"")</f>
        <v>Technical Infrastructure</v>
      </c>
    </row>
    <row r="40" spans="1:8" x14ac:dyDescent="0.3">
      <c r="A40" t="s">
        <v>78</v>
      </c>
      <c r="B40" t="s">
        <v>79</v>
      </c>
      <c r="C40">
        <f t="shared" si="0"/>
        <v>3</v>
      </c>
      <c r="D40" t="str">
        <f t="shared" si="1"/>
        <v>4.2.2#1</v>
      </c>
      <c r="E40">
        <f t="shared" si="2"/>
        <v>6</v>
      </c>
      <c r="F40" t="str">
        <f t="shared" si="3"/>
        <v>4.2.2</v>
      </c>
      <c r="G40">
        <f t="shared" si="4"/>
        <v>38</v>
      </c>
      <c r="H40" t="str" cm="1">
        <f t="array" ref="H40">IFERROR(INDEX(A$2:A$113,G40),"")</f>
        <v>Frontend Development</v>
      </c>
    </row>
    <row r="41" spans="1:8" x14ac:dyDescent="0.3">
      <c r="A41" t="s">
        <v>80</v>
      </c>
      <c r="B41" t="s">
        <v>81</v>
      </c>
      <c r="C41">
        <f t="shared" si="0"/>
        <v>3</v>
      </c>
      <c r="D41" t="str">
        <f t="shared" si="1"/>
        <v>4.2.2#2</v>
      </c>
      <c r="E41">
        <f t="shared" si="2"/>
        <v>6</v>
      </c>
      <c r="F41" t="str">
        <f t="shared" si="3"/>
        <v>4.2.2</v>
      </c>
      <c r="G41">
        <f t="shared" si="4"/>
        <v>38</v>
      </c>
      <c r="H41" t="str" cm="1">
        <f t="array" ref="H41">IFERROR(INDEX(A$2:A$113,G41),"")</f>
        <v>Frontend Development</v>
      </c>
    </row>
    <row r="42" spans="1:8" x14ac:dyDescent="0.3">
      <c r="A42" t="s">
        <v>82</v>
      </c>
      <c r="B42" t="s">
        <v>83</v>
      </c>
      <c r="C42">
        <f t="shared" si="0"/>
        <v>1</v>
      </c>
      <c r="D42" t="str">
        <f t="shared" si="1"/>
        <v>4#3</v>
      </c>
      <c r="E42">
        <f t="shared" si="2"/>
        <v>2</v>
      </c>
      <c r="F42" t="str">
        <f t="shared" si="3"/>
        <v>4</v>
      </c>
      <c r="G42">
        <f t="shared" si="4"/>
        <v>25</v>
      </c>
      <c r="H42" t="str" cm="1">
        <f t="array" ref="H42">IFERROR(INDEX(A$2:A$113,G42),"")</f>
        <v>Design And Developemnt</v>
      </c>
    </row>
    <row r="43" spans="1:8" x14ac:dyDescent="0.3">
      <c r="A43" t="s">
        <v>84</v>
      </c>
      <c r="B43" t="s">
        <v>85</v>
      </c>
      <c r="C43">
        <f t="shared" si="0"/>
        <v>2</v>
      </c>
      <c r="D43" t="str">
        <f t="shared" si="1"/>
        <v>4.3#1</v>
      </c>
      <c r="E43">
        <f t="shared" si="2"/>
        <v>4</v>
      </c>
      <c r="F43" t="str">
        <f t="shared" si="3"/>
        <v>4.3</v>
      </c>
      <c r="G43">
        <f t="shared" si="4"/>
        <v>41</v>
      </c>
      <c r="H43" t="str" cm="1">
        <f t="array" ref="H43">IFERROR(INDEX(A$2:A$113,G43),"")</f>
        <v>Simulation Features</v>
      </c>
    </row>
    <row r="44" spans="1:8" x14ac:dyDescent="0.3">
      <c r="A44" t="s">
        <v>86</v>
      </c>
      <c r="B44" t="s">
        <v>87</v>
      </c>
      <c r="C44">
        <f t="shared" si="0"/>
        <v>3</v>
      </c>
      <c r="D44" t="str">
        <f t="shared" si="1"/>
        <v>4.3.1#1</v>
      </c>
      <c r="E44">
        <f t="shared" si="2"/>
        <v>6</v>
      </c>
      <c r="F44" t="str">
        <f t="shared" si="3"/>
        <v>4.3.1</v>
      </c>
      <c r="G44">
        <f t="shared" si="4"/>
        <v>42</v>
      </c>
      <c r="H44" t="str" cm="1">
        <f t="array" ref="H44">IFERROR(INDEX(A$2:A$113,G44),"")</f>
        <v>AI-Powered Interview Simulation</v>
      </c>
    </row>
    <row r="45" spans="1:8" x14ac:dyDescent="0.3">
      <c r="A45" t="s">
        <v>88</v>
      </c>
      <c r="B45" t="s">
        <v>89</v>
      </c>
      <c r="C45">
        <f t="shared" si="0"/>
        <v>4</v>
      </c>
      <c r="D45" t="str">
        <f t="shared" si="1"/>
        <v>4.3.1.1#1</v>
      </c>
      <c r="E45">
        <f t="shared" si="2"/>
        <v>8</v>
      </c>
      <c r="F45" t="str">
        <f t="shared" si="3"/>
        <v>4.3.1.1</v>
      </c>
      <c r="G45">
        <f t="shared" si="4"/>
        <v>43</v>
      </c>
      <c r="H45" t="str" cm="1">
        <f t="array" ref="H45">IFERROR(INDEX(A$2:A$113,G45),"")</f>
        <v>Create Question Modules</v>
      </c>
    </row>
    <row r="46" spans="1:8" x14ac:dyDescent="0.3">
      <c r="A46" t="s">
        <v>90</v>
      </c>
      <c r="B46" t="s">
        <v>91</v>
      </c>
      <c r="C46">
        <f t="shared" si="0"/>
        <v>4</v>
      </c>
      <c r="D46" t="str">
        <f t="shared" si="1"/>
        <v>4.3.1.1#2</v>
      </c>
      <c r="E46">
        <f t="shared" si="2"/>
        <v>8</v>
      </c>
      <c r="F46" t="str">
        <f t="shared" si="3"/>
        <v>4.3.1.1</v>
      </c>
      <c r="G46">
        <f t="shared" si="4"/>
        <v>43</v>
      </c>
      <c r="H46" t="str" cm="1">
        <f t="array" ref="H46">IFERROR(INDEX(A$2:A$113,G46),"")</f>
        <v>Create Question Modules</v>
      </c>
    </row>
    <row r="47" spans="1:8" x14ac:dyDescent="0.3">
      <c r="A47" t="s">
        <v>92</v>
      </c>
      <c r="B47" t="s">
        <v>93</v>
      </c>
      <c r="C47">
        <f t="shared" si="0"/>
        <v>2</v>
      </c>
      <c r="D47" t="str">
        <f t="shared" si="1"/>
        <v>4.3#2</v>
      </c>
      <c r="E47">
        <f t="shared" si="2"/>
        <v>4</v>
      </c>
      <c r="F47" t="str">
        <f t="shared" si="3"/>
        <v>4.3</v>
      </c>
      <c r="G47">
        <f t="shared" si="4"/>
        <v>41</v>
      </c>
      <c r="H47" t="str" cm="1">
        <f t="array" ref="H47">IFERROR(INDEX(A$2:A$113,G47),"")</f>
        <v>Simulation Features</v>
      </c>
    </row>
    <row r="48" spans="1:8" x14ac:dyDescent="0.3">
      <c r="A48" t="s">
        <v>94</v>
      </c>
      <c r="B48" t="s">
        <v>95</v>
      </c>
      <c r="C48">
        <f t="shared" si="0"/>
        <v>3</v>
      </c>
      <c r="D48" t="str">
        <f t="shared" si="1"/>
        <v>4.3.2#1</v>
      </c>
      <c r="E48">
        <f t="shared" si="2"/>
        <v>6</v>
      </c>
      <c r="F48" t="str">
        <f t="shared" si="3"/>
        <v>4.3.2</v>
      </c>
      <c r="G48">
        <f t="shared" si="4"/>
        <v>46</v>
      </c>
      <c r="H48" t="str" cm="1">
        <f t="array" ref="H48">IFERROR(INDEX(A$2:A$113,G48),"")</f>
        <v>Real-Time Feedback Mechanism</v>
      </c>
    </row>
    <row r="49" spans="1:8" x14ac:dyDescent="0.3">
      <c r="A49" t="s">
        <v>96</v>
      </c>
      <c r="B49" t="s">
        <v>97</v>
      </c>
      <c r="C49">
        <f t="shared" si="0"/>
        <v>3</v>
      </c>
      <c r="D49" t="str">
        <f t="shared" si="1"/>
        <v>4.3.2#2</v>
      </c>
      <c r="E49">
        <f t="shared" si="2"/>
        <v>6</v>
      </c>
      <c r="F49" t="str">
        <f t="shared" si="3"/>
        <v>4.3.2</v>
      </c>
      <c r="G49">
        <f t="shared" si="4"/>
        <v>46</v>
      </c>
      <c r="H49" t="str" cm="1">
        <f t="array" ref="H49">IFERROR(INDEX(A$2:A$113,G49),"")</f>
        <v>Real-Time Feedback Mechanism</v>
      </c>
    </row>
    <row r="50" spans="1:8" x14ac:dyDescent="0.3">
      <c r="A50" t="s">
        <v>98</v>
      </c>
      <c r="B50" t="s">
        <v>99</v>
      </c>
      <c r="C50">
        <f t="shared" si="0"/>
        <v>1</v>
      </c>
      <c r="D50" t="str">
        <f t="shared" si="1"/>
        <v>4#4</v>
      </c>
      <c r="E50">
        <f t="shared" si="2"/>
        <v>2</v>
      </c>
      <c r="F50" t="str">
        <f t="shared" si="3"/>
        <v>4</v>
      </c>
      <c r="G50">
        <f t="shared" si="4"/>
        <v>25</v>
      </c>
      <c r="H50" t="str" cm="1">
        <f t="array" ref="H50">IFERROR(INDEX(A$2:A$113,G50),"")</f>
        <v>Design And Developemnt</v>
      </c>
    </row>
    <row r="51" spans="1:8" x14ac:dyDescent="0.3">
      <c r="A51" t="s">
        <v>100</v>
      </c>
      <c r="B51" t="s">
        <v>101</v>
      </c>
      <c r="C51">
        <f t="shared" si="0"/>
        <v>2</v>
      </c>
      <c r="D51" t="str">
        <f t="shared" si="1"/>
        <v>4.4#1</v>
      </c>
      <c r="E51">
        <f t="shared" si="2"/>
        <v>4</v>
      </c>
      <c r="F51" t="str">
        <f t="shared" si="3"/>
        <v>4.4</v>
      </c>
      <c r="G51">
        <f t="shared" si="4"/>
        <v>49</v>
      </c>
      <c r="H51" t="str" cm="1">
        <f t="array" ref="H51">IFERROR(INDEX(A$2:A$113,G51),"")</f>
        <v>Code Optimizer</v>
      </c>
    </row>
    <row r="52" spans="1:8" x14ac:dyDescent="0.3">
      <c r="A52" t="s">
        <v>102</v>
      </c>
      <c r="B52" t="s">
        <v>103</v>
      </c>
      <c r="C52">
        <f t="shared" si="0"/>
        <v>2</v>
      </c>
      <c r="D52" t="str">
        <f t="shared" si="1"/>
        <v>4.4#2</v>
      </c>
      <c r="E52">
        <f t="shared" si="2"/>
        <v>4</v>
      </c>
      <c r="F52" t="str">
        <f t="shared" si="3"/>
        <v>4.4</v>
      </c>
      <c r="G52">
        <f t="shared" si="4"/>
        <v>49</v>
      </c>
      <c r="H52" t="str" cm="1">
        <f t="array" ref="H52">IFERROR(INDEX(A$2:A$113,G52),"")</f>
        <v>Code Optimizer</v>
      </c>
    </row>
    <row r="53" spans="1:8" x14ac:dyDescent="0.3">
      <c r="A53" t="s">
        <v>104</v>
      </c>
      <c r="B53" t="s">
        <v>105</v>
      </c>
      <c r="C53">
        <f t="shared" si="0"/>
        <v>2</v>
      </c>
      <c r="D53" t="str">
        <f t="shared" si="1"/>
        <v>4.4#3</v>
      </c>
      <c r="E53">
        <f t="shared" si="2"/>
        <v>4</v>
      </c>
      <c r="F53" t="str">
        <f t="shared" si="3"/>
        <v>4.4</v>
      </c>
      <c r="G53">
        <f t="shared" si="4"/>
        <v>49</v>
      </c>
      <c r="H53" t="str" cm="1">
        <f t="array" ref="H53">IFERROR(INDEX(A$2:A$113,G53),"")</f>
        <v>Code Optimizer</v>
      </c>
    </row>
    <row r="54" spans="1:8" x14ac:dyDescent="0.3">
      <c r="A54" t="s">
        <v>106</v>
      </c>
      <c r="B54" t="s">
        <v>107</v>
      </c>
      <c r="C54">
        <f t="shared" si="0"/>
        <v>1</v>
      </c>
      <c r="D54" t="str">
        <f t="shared" si="1"/>
        <v>4#5</v>
      </c>
      <c r="E54">
        <f t="shared" si="2"/>
        <v>2</v>
      </c>
      <c r="F54" t="str">
        <f t="shared" si="3"/>
        <v>4</v>
      </c>
      <c r="G54">
        <f t="shared" si="4"/>
        <v>25</v>
      </c>
      <c r="H54" t="str" cm="1">
        <f t="array" ref="H54">IFERROR(INDEX(A$2:A$113,G54),"")</f>
        <v>Design And Developemnt</v>
      </c>
    </row>
    <row r="55" spans="1:8" x14ac:dyDescent="0.3">
      <c r="A55" t="s">
        <v>108</v>
      </c>
      <c r="B55" t="s">
        <v>109</v>
      </c>
      <c r="C55">
        <f t="shared" si="0"/>
        <v>2</v>
      </c>
      <c r="D55" t="str">
        <f t="shared" si="1"/>
        <v>4.5#1</v>
      </c>
      <c r="E55">
        <f t="shared" si="2"/>
        <v>4</v>
      </c>
      <c r="F55" t="str">
        <f t="shared" si="3"/>
        <v>4.5</v>
      </c>
      <c r="G55">
        <f t="shared" si="4"/>
        <v>53</v>
      </c>
      <c r="H55" t="str" cm="1">
        <f t="array" ref="H55">IFERROR(INDEX(A$2:A$113,G55),"")</f>
        <v>Resume Analyzer</v>
      </c>
    </row>
    <row r="56" spans="1:8" x14ac:dyDescent="0.3">
      <c r="A56" t="s">
        <v>110</v>
      </c>
      <c r="B56" t="s">
        <v>111</v>
      </c>
      <c r="C56">
        <f t="shared" si="0"/>
        <v>3</v>
      </c>
      <c r="D56" t="str">
        <f t="shared" si="1"/>
        <v>4.5.1#1</v>
      </c>
      <c r="E56">
        <f t="shared" si="2"/>
        <v>6</v>
      </c>
      <c r="F56" t="str">
        <f t="shared" si="3"/>
        <v>4.5.1</v>
      </c>
      <c r="G56">
        <f t="shared" si="4"/>
        <v>54</v>
      </c>
      <c r="H56" t="str" cm="1">
        <f t="array" ref="H56">IFERROR(INDEX(A$2:A$113,G56),"")</f>
        <v>AI-Powered CV Evaluation</v>
      </c>
    </row>
    <row r="57" spans="1:8" x14ac:dyDescent="0.3">
      <c r="A57" t="s">
        <v>112</v>
      </c>
      <c r="B57" t="s">
        <v>113</v>
      </c>
      <c r="C57">
        <f t="shared" si="0"/>
        <v>4</v>
      </c>
      <c r="D57" t="str">
        <f t="shared" si="1"/>
        <v>4.5.1.1#1</v>
      </c>
      <c r="E57">
        <f t="shared" si="2"/>
        <v>8</v>
      </c>
      <c r="F57" t="str">
        <f t="shared" si="3"/>
        <v>4.5.1.1</v>
      </c>
      <c r="G57">
        <f t="shared" si="4"/>
        <v>55</v>
      </c>
      <c r="H57" t="str" cm="1">
        <f t="array" ref="H57">IFERROR(INDEX(A$2:A$113,G57),"")</f>
        <v>Set Analysis Parameters</v>
      </c>
    </row>
    <row r="58" spans="1:8" x14ac:dyDescent="0.3">
      <c r="A58" t="s">
        <v>114</v>
      </c>
      <c r="B58" t="s">
        <v>115</v>
      </c>
      <c r="C58">
        <f t="shared" si="0"/>
        <v>4</v>
      </c>
      <c r="D58" t="str">
        <f t="shared" si="1"/>
        <v>4.5.1.1#2</v>
      </c>
      <c r="E58">
        <f t="shared" si="2"/>
        <v>8</v>
      </c>
      <c r="F58" t="str">
        <f t="shared" si="3"/>
        <v>4.5.1.1</v>
      </c>
      <c r="G58">
        <f t="shared" si="4"/>
        <v>55</v>
      </c>
      <c r="H58" t="str" cm="1">
        <f t="array" ref="H58">IFERROR(INDEX(A$2:A$113,G58),"")</f>
        <v>Set Analysis Parameters</v>
      </c>
    </row>
    <row r="59" spans="1:8" x14ac:dyDescent="0.3">
      <c r="A59" t="s">
        <v>116</v>
      </c>
      <c r="B59" t="s">
        <v>117</v>
      </c>
      <c r="C59">
        <f t="shared" si="0"/>
        <v>2</v>
      </c>
      <c r="D59" t="str">
        <f t="shared" si="1"/>
        <v>4.5#2</v>
      </c>
      <c r="E59">
        <f t="shared" si="2"/>
        <v>4</v>
      </c>
      <c r="F59" t="str">
        <f t="shared" si="3"/>
        <v>4.5</v>
      </c>
      <c r="G59">
        <f t="shared" si="4"/>
        <v>53</v>
      </c>
      <c r="H59" t="str" cm="1">
        <f t="array" ref="H59">IFERROR(INDEX(A$2:A$113,G59),"")</f>
        <v>Resume Analyzer</v>
      </c>
    </row>
    <row r="60" spans="1:8" x14ac:dyDescent="0.3">
      <c r="A60" t="s">
        <v>118</v>
      </c>
      <c r="B60" t="s">
        <v>119</v>
      </c>
      <c r="C60">
        <f t="shared" si="0"/>
        <v>3</v>
      </c>
      <c r="D60" t="str">
        <f t="shared" si="1"/>
        <v>4.5.2#1</v>
      </c>
      <c r="E60">
        <f t="shared" si="2"/>
        <v>6</v>
      </c>
      <c r="F60" t="str">
        <f t="shared" si="3"/>
        <v>4.5.2</v>
      </c>
      <c r="G60">
        <f t="shared" si="4"/>
        <v>58</v>
      </c>
      <c r="H60" t="str" cm="1">
        <f t="array" ref="H60">IFERROR(INDEX(A$2:A$113,G60),"")</f>
        <v>Generate Feedback Reports</v>
      </c>
    </row>
    <row r="61" spans="1:8" x14ac:dyDescent="0.3">
      <c r="A61" t="s">
        <v>120</v>
      </c>
      <c r="B61" t="s">
        <v>121</v>
      </c>
      <c r="C61">
        <f t="shared" si="0"/>
        <v>2</v>
      </c>
      <c r="D61" t="str">
        <f t="shared" si="1"/>
        <v>4.5#3</v>
      </c>
      <c r="E61">
        <f t="shared" si="2"/>
        <v>4</v>
      </c>
      <c r="F61" t="str">
        <f t="shared" si="3"/>
        <v>4.5</v>
      </c>
      <c r="G61">
        <f t="shared" si="4"/>
        <v>53</v>
      </c>
      <c r="H61" t="str" cm="1">
        <f t="array" ref="H61">IFERROR(INDEX(A$2:A$113,G61),"")</f>
        <v>Resume Analyzer</v>
      </c>
    </row>
    <row r="62" spans="1:8" x14ac:dyDescent="0.3">
      <c r="A62" t="s">
        <v>122</v>
      </c>
      <c r="B62" t="s">
        <v>123</v>
      </c>
      <c r="C62">
        <f t="shared" si="0"/>
        <v>3</v>
      </c>
      <c r="D62" t="str">
        <f t="shared" si="1"/>
        <v>4.5.3#1</v>
      </c>
      <c r="E62">
        <f t="shared" si="2"/>
        <v>6</v>
      </c>
      <c r="F62" t="str">
        <f t="shared" si="3"/>
        <v>4.5.3</v>
      </c>
      <c r="G62">
        <f t="shared" si="4"/>
        <v>60</v>
      </c>
      <c r="H62" t="str" cm="1">
        <f t="array" ref="H62">IFERROR(INDEX(A$2:A$113,G62),"")</f>
        <v>Integrate Results Dashboard</v>
      </c>
    </row>
    <row r="63" spans="1:8" x14ac:dyDescent="0.3">
      <c r="A63" t="s">
        <v>124</v>
      </c>
      <c r="B63" t="s">
        <v>125</v>
      </c>
      <c r="C63">
        <f t="shared" si="0"/>
        <v>0</v>
      </c>
      <c r="D63" t="e">
        <f t="shared" si="1"/>
        <v>#VALUE!</v>
      </c>
      <c r="E63" t="e">
        <f t="shared" si="2"/>
        <v>#VALUE!</v>
      </c>
      <c r="F63" t="e">
        <f t="shared" si="3"/>
        <v>#VALUE!</v>
      </c>
      <c r="G63" t="e">
        <f t="shared" si="4"/>
        <v>#VALUE!</v>
      </c>
      <c r="H63" t="str" cm="1">
        <f t="array" ref="H63">IFERROR(INDEX(A$2:A$113,G63),"")</f>
        <v/>
      </c>
    </row>
    <row r="64" spans="1:8" x14ac:dyDescent="0.3">
      <c r="A64" t="s">
        <v>126</v>
      </c>
      <c r="B64" t="s">
        <v>127</v>
      </c>
      <c r="C64">
        <f t="shared" si="0"/>
        <v>1</v>
      </c>
      <c r="D64" t="str">
        <f t="shared" si="1"/>
        <v>5#1</v>
      </c>
      <c r="E64">
        <f t="shared" si="2"/>
        <v>2</v>
      </c>
      <c r="F64" t="str">
        <f t="shared" si="3"/>
        <v>5</v>
      </c>
      <c r="G64">
        <f t="shared" si="4"/>
        <v>62</v>
      </c>
      <c r="H64" t="str" cm="1">
        <f t="array" ref="H64">IFERROR(INDEX(A$2:A$113,G64),"")</f>
        <v>AI Model Training</v>
      </c>
    </row>
    <row r="65" spans="1:8" x14ac:dyDescent="0.3">
      <c r="A65" t="s">
        <v>128</v>
      </c>
      <c r="B65" t="s">
        <v>129</v>
      </c>
      <c r="C65">
        <f t="shared" si="0"/>
        <v>2</v>
      </c>
      <c r="D65" t="str">
        <f t="shared" si="1"/>
        <v>5.1#1</v>
      </c>
      <c r="E65">
        <f t="shared" si="2"/>
        <v>4</v>
      </c>
      <c r="F65" t="str">
        <f t="shared" si="3"/>
        <v>5.1</v>
      </c>
      <c r="G65">
        <f t="shared" si="4"/>
        <v>63</v>
      </c>
      <c r="H65" t="str" cm="1">
        <f t="array" ref="H65">IFERROR(INDEX(A$2:A$113,G65),"")</f>
        <v>Data Collection</v>
      </c>
    </row>
    <row r="66" spans="1:8" x14ac:dyDescent="0.3">
      <c r="A66" t="s">
        <v>130</v>
      </c>
      <c r="B66" t="s">
        <v>131</v>
      </c>
      <c r="C66">
        <f t="shared" si="0"/>
        <v>3</v>
      </c>
      <c r="D66" t="str">
        <f t="shared" si="1"/>
        <v>5.1.1#1</v>
      </c>
      <c r="E66">
        <f t="shared" si="2"/>
        <v>6</v>
      </c>
      <c r="F66" t="str">
        <f t="shared" si="3"/>
        <v>5.1.1</v>
      </c>
      <c r="G66">
        <f t="shared" si="4"/>
        <v>64</v>
      </c>
      <c r="H66" t="str" cm="1">
        <f t="array" ref="H66">IFERROR(INDEX(A$2:A$113,G66),"")</f>
        <v>Candidate Profile Collection</v>
      </c>
    </row>
    <row r="67" spans="1:8" x14ac:dyDescent="0.3">
      <c r="A67" t="s">
        <v>132</v>
      </c>
      <c r="B67" t="s">
        <v>133</v>
      </c>
      <c r="C67">
        <f t="shared" ref="C67:C113" si="5">LEN(B67)-LEN(SUBSTITUTE(B67,".",""))</f>
        <v>3</v>
      </c>
      <c r="D67" t="str">
        <f t="shared" ref="D67:D112" si="6">SUBSTITUTE(B67,".","#",C67)</f>
        <v>5.1.1#2</v>
      </c>
      <c r="E67">
        <f t="shared" ref="E67:E113" si="7">FIND("#",D67)</f>
        <v>6</v>
      </c>
      <c r="F67" t="str">
        <f t="shared" ref="F67:F113" si="8">LEFT(B67,E67-1)</f>
        <v>5.1.1</v>
      </c>
      <c r="G67">
        <f t="shared" ref="G67:G113" si="9">MATCH(F67,$B$2:$B$113)</f>
        <v>64</v>
      </c>
      <c r="H67" t="str" cm="1">
        <f t="array" ref="H67">IFERROR(INDEX(A$2:A$113,G67),"")</f>
        <v>Candidate Profile Collection</v>
      </c>
    </row>
    <row r="68" spans="1:8" x14ac:dyDescent="0.3">
      <c r="A68" t="s">
        <v>134</v>
      </c>
      <c r="B68" t="s">
        <v>135</v>
      </c>
      <c r="C68">
        <f t="shared" si="5"/>
        <v>3</v>
      </c>
      <c r="D68" t="str">
        <f t="shared" si="6"/>
        <v>5.1.1#3</v>
      </c>
      <c r="E68">
        <f t="shared" si="7"/>
        <v>6</v>
      </c>
      <c r="F68" t="str">
        <f t="shared" si="8"/>
        <v>5.1.1</v>
      </c>
      <c r="G68">
        <f t="shared" si="9"/>
        <v>64</v>
      </c>
      <c r="H68" t="str" cm="1">
        <f t="array" ref="H68">IFERROR(INDEX(A$2:A$113,G68),"")</f>
        <v>Candidate Profile Collection</v>
      </c>
    </row>
    <row r="69" spans="1:8" x14ac:dyDescent="0.3">
      <c r="A69" t="s">
        <v>136</v>
      </c>
      <c r="B69" t="s">
        <v>137</v>
      </c>
      <c r="C69">
        <f t="shared" si="5"/>
        <v>2</v>
      </c>
      <c r="D69" t="str">
        <f t="shared" si="6"/>
        <v>5.1#2</v>
      </c>
      <c r="E69">
        <f t="shared" si="7"/>
        <v>4</v>
      </c>
      <c r="F69" t="str">
        <f t="shared" si="8"/>
        <v>5.1</v>
      </c>
      <c r="G69">
        <f t="shared" si="9"/>
        <v>63</v>
      </c>
      <c r="H69" t="str" cm="1">
        <f t="array" ref="H69">IFERROR(INDEX(A$2:A$113,G69),"")</f>
        <v>Data Collection</v>
      </c>
    </row>
    <row r="70" spans="1:8" x14ac:dyDescent="0.3">
      <c r="A70" t="s">
        <v>138</v>
      </c>
      <c r="B70" t="s">
        <v>139</v>
      </c>
      <c r="C70">
        <f t="shared" si="5"/>
        <v>3</v>
      </c>
      <c r="D70" t="str">
        <f t="shared" si="6"/>
        <v>5.1.2#1</v>
      </c>
      <c r="E70">
        <f t="shared" si="7"/>
        <v>6</v>
      </c>
      <c r="F70" t="str">
        <f t="shared" si="8"/>
        <v>5.1.2</v>
      </c>
      <c r="G70">
        <f t="shared" si="9"/>
        <v>68</v>
      </c>
      <c r="H70" t="str" cm="1">
        <f t="array" ref="H70">IFERROR(INDEX(A$2:A$113,G70),"")</f>
        <v>Industry Analysis Data</v>
      </c>
    </row>
    <row r="71" spans="1:8" x14ac:dyDescent="0.3">
      <c r="A71" t="s">
        <v>140</v>
      </c>
      <c r="B71" t="s">
        <v>141</v>
      </c>
      <c r="C71">
        <f t="shared" si="5"/>
        <v>3</v>
      </c>
      <c r="D71" t="str">
        <f t="shared" si="6"/>
        <v>5.1.2#2</v>
      </c>
      <c r="E71">
        <f t="shared" si="7"/>
        <v>6</v>
      </c>
      <c r="F71" t="str">
        <f t="shared" si="8"/>
        <v>5.1.2</v>
      </c>
      <c r="G71">
        <f t="shared" si="9"/>
        <v>68</v>
      </c>
      <c r="H71" t="str" cm="1">
        <f t="array" ref="H71">IFERROR(INDEX(A$2:A$113,G71),"")</f>
        <v>Industry Analysis Data</v>
      </c>
    </row>
    <row r="72" spans="1:8" x14ac:dyDescent="0.3">
      <c r="A72" t="s">
        <v>142</v>
      </c>
      <c r="B72" t="s">
        <v>143</v>
      </c>
      <c r="C72">
        <f t="shared" si="5"/>
        <v>3</v>
      </c>
      <c r="D72" t="str">
        <f t="shared" si="6"/>
        <v>5.1.2#3</v>
      </c>
      <c r="E72">
        <f t="shared" si="7"/>
        <v>6</v>
      </c>
      <c r="F72" t="str">
        <f t="shared" si="8"/>
        <v>5.1.2</v>
      </c>
      <c r="G72">
        <f t="shared" si="9"/>
        <v>68</v>
      </c>
      <c r="H72" t="str" cm="1">
        <f t="array" ref="H72">IFERROR(INDEX(A$2:A$113,G72),"")</f>
        <v>Industry Analysis Data</v>
      </c>
    </row>
    <row r="73" spans="1:8" x14ac:dyDescent="0.3">
      <c r="A73" t="s">
        <v>144</v>
      </c>
      <c r="B73" t="s">
        <v>145</v>
      </c>
      <c r="C73">
        <f t="shared" si="5"/>
        <v>1</v>
      </c>
      <c r="D73" t="str">
        <f t="shared" si="6"/>
        <v>5#2</v>
      </c>
      <c r="E73">
        <f t="shared" si="7"/>
        <v>2</v>
      </c>
      <c r="F73" t="str">
        <f t="shared" si="8"/>
        <v>5</v>
      </c>
      <c r="G73">
        <f t="shared" si="9"/>
        <v>62</v>
      </c>
      <c r="H73" t="str" cm="1">
        <f t="array" ref="H73">IFERROR(INDEX(A$2:A$113,G73),"")</f>
        <v>AI Model Training</v>
      </c>
    </row>
    <row r="74" spans="1:8" x14ac:dyDescent="0.3">
      <c r="A74" t="s">
        <v>146</v>
      </c>
      <c r="B74" t="s">
        <v>147</v>
      </c>
      <c r="C74">
        <f t="shared" si="5"/>
        <v>2</v>
      </c>
      <c r="D74" t="str">
        <f t="shared" si="6"/>
        <v>5.2#1</v>
      </c>
      <c r="E74">
        <f t="shared" si="7"/>
        <v>4</v>
      </c>
      <c r="F74" t="str">
        <f t="shared" si="8"/>
        <v>5.2</v>
      </c>
      <c r="G74">
        <f t="shared" si="9"/>
        <v>72</v>
      </c>
      <c r="H74" t="str" cm="1">
        <f t="array" ref="H74">IFERROR(INDEX(A$2:A$113,G74),"")</f>
        <v>Model Development</v>
      </c>
    </row>
    <row r="75" spans="1:8" x14ac:dyDescent="0.3">
      <c r="A75" t="s">
        <v>148</v>
      </c>
      <c r="B75" t="s">
        <v>149</v>
      </c>
      <c r="C75">
        <f t="shared" si="5"/>
        <v>3</v>
      </c>
      <c r="D75" t="str">
        <f t="shared" si="6"/>
        <v>5.2.1#1</v>
      </c>
      <c r="E75">
        <f t="shared" si="7"/>
        <v>6</v>
      </c>
      <c r="F75" t="str">
        <f t="shared" si="8"/>
        <v>5.2.1</v>
      </c>
      <c r="G75">
        <f t="shared" si="9"/>
        <v>73</v>
      </c>
      <c r="H75" t="str" cm="1">
        <f t="array" ref="H75">IFERROR(INDEX(A$2:A$113,G75),"")</f>
        <v>Model Architecture Design</v>
      </c>
    </row>
    <row r="76" spans="1:8" x14ac:dyDescent="0.3">
      <c r="A76" t="s">
        <v>150</v>
      </c>
      <c r="B76" t="s">
        <v>151</v>
      </c>
      <c r="C76">
        <f t="shared" si="5"/>
        <v>3</v>
      </c>
      <c r="D76" t="str">
        <f t="shared" si="6"/>
        <v>5.2.1#2</v>
      </c>
      <c r="E76">
        <f t="shared" si="7"/>
        <v>6</v>
      </c>
      <c r="F76" t="str">
        <f t="shared" si="8"/>
        <v>5.2.1</v>
      </c>
      <c r="G76">
        <f t="shared" si="9"/>
        <v>73</v>
      </c>
      <c r="H76" t="str" cm="1">
        <f t="array" ref="H76">IFERROR(INDEX(A$2:A$113,G76),"")</f>
        <v>Model Architecture Design</v>
      </c>
    </row>
    <row r="77" spans="1:8" x14ac:dyDescent="0.3">
      <c r="A77" t="s">
        <v>152</v>
      </c>
      <c r="B77" t="s">
        <v>153</v>
      </c>
      <c r="C77">
        <f t="shared" si="5"/>
        <v>1</v>
      </c>
      <c r="D77" t="str">
        <f t="shared" si="6"/>
        <v>5#3</v>
      </c>
      <c r="E77">
        <f t="shared" si="7"/>
        <v>2</v>
      </c>
      <c r="F77" t="str">
        <f t="shared" si="8"/>
        <v>5</v>
      </c>
      <c r="G77">
        <f t="shared" si="9"/>
        <v>62</v>
      </c>
      <c r="H77" t="str" cm="1">
        <f t="array" ref="H77">IFERROR(INDEX(A$2:A$113,G77),"")</f>
        <v>AI Model Training</v>
      </c>
    </row>
    <row r="78" spans="1:8" x14ac:dyDescent="0.3">
      <c r="A78" t="s">
        <v>154</v>
      </c>
      <c r="B78" t="s">
        <v>155</v>
      </c>
      <c r="C78">
        <f t="shared" si="5"/>
        <v>2</v>
      </c>
      <c r="D78" t="str">
        <f t="shared" si="6"/>
        <v>5.3#1</v>
      </c>
      <c r="E78">
        <f t="shared" si="7"/>
        <v>4</v>
      </c>
      <c r="F78" t="str">
        <f t="shared" si="8"/>
        <v>5.3</v>
      </c>
      <c r="G78">
        <f t="shared" si="9"/>
        <v>76</v>
      </c>
      <c r="H78" t="str" cm="1">
        <f t="array" ref="H78">IFERROR(INDEX(A$2:A$113,G78),"")</f>
        <v>Algorithm Training</v>
      </c>
    </row>
    <row r="79" spans="1:8" x14ac:dyDescent="0.3">
      <c r="A79" t="s">
        <v>156</v>
      </c>
      <c r="B79" t="s">
        <v>157</v>
      </c>
      <c r="C79">
        <f t="shared" si="5"/>
        <v>2</v>
      </c>
      <c r="D79" t="str">
        <f t="shared" si="6"/>
        <v>5.3#2</v>
      </c>
      <c r="E79">
        <f t="shared" si="7"/>
        <v>4</v>
      </c>
      <c r="F79" t="str">
        <f t="shared" si="8"/>
        <v>5.3</v>
      </c>
      <c r="G79">
        <f t="shared" si="9"/>
        <v>76</v>
      </c>
      <c r="H79" t="str" cm="1">
        <f t="array" ref="H79">IFERROR(INDEX(A$2:A$113,G79),"")</f>
        <v>Algorithm Training</v>
      </c>
    </row>
    <row r="80" spans="1:8" x14ac:dyDescent="0.3">
      <c r="A80" t="s">
        <v>158</v>
      </c>
      <c r="B80" t="s">
        <v>159</v>
      </c>
      <c r="C80">
        <f t="shared" si="5"/>
        <v>1</v>
      </c>
      <c r="D80" t="str">
        <f t="shared" si="6"/>
        <v>5#4</v>
      </c>
      <c r="E80">
        <f t="shared" si="7"/>
        <v>2</v>
      </c>
      <c r="F80" t="str">
        <f t="shared" si="8"/>
        <v>5</v>
      </c>
      <c r="G80">
        <f t="shared" si="9"/>
        <v>62</v>
      </c>
      <c r="H80" t="str" cm="1">
        <f t="array" ref="H80">IFERROR(INDEX(A$2:A$113,G80),"")</f>
        <v>AI Model Training</v>
      </c>
    </row>
    <row r="81" spans="1:8" x14ac:dyDescent="0.3">
      <c r="A81" t="s">
        <v>160</v>
      </c>
      <c r="B81" t="s">
        <v>161</v>
      </c>
      <c r="C81">
        <f t="shared" si="5"/>
        <v>2</v>
      </c>
      <c r="D81" t="str">
        <f t="shared" si="6"/>
        <v>5.4#1</v>
      </c>
      <c r="E81">
        <f t="shared" si="7"/>
        <v>4</v>
      </c>
      <c r="F81" t="str">
        <f t="shared" si="8"/>
        <v>5.4</v>
      </c>
      <c r="G81">
        <f t="shared" si="9"/>
        <v>79</v>
      </c>
      <c r="H81" t="str" cm="1">
        <f t="array" ref="H81">IFERROR(INDEX(A$2:A$113,G81),"")</f>
        <v>Evaluation and Tuning</v>
      </c>
    </row>
    <row r="82" spans="1:8" x14ac:dyDescent="0.3">
      <c r="A82" t="s">
        <v>162</v>
      </c>
      <c r="B82" t="s">
        <v>163</v>
      </c>
      <c r="C82">
        <f t="shared" si="5"/>
        <v>2</v>
      </c>
      <c r="D82" t="str">
        <f t="shared" si="6"/>
        <v>5.4#2</v>
      </c>
      <c r="E82">
        <f t="shared" si="7"/>
        <v>4</v>
      </c>
      <c r="F82" t="str">
        <f t="shared" si="8"/>
        <v>5.4</v>
      </c>
      <c r="G82">
        <f t="shared" si="9"/>
        <v>79</v>
      </c>
      <c r="H82" t="str" cm="1">
        <f t="array" ref="H82">IFERROR(INDEX(A$2:A$113,G82),"")</f>
        <v>Evaluation and Tuning</v>
      </c>
    </row>
    <row r="83" spans="1:8" x14ac:dyDescent="0.3">
      <c r="A83" t="s">
        <v>164</v>
      </c>
      <c r="B83" t="s">
        <v>165</v>
      </c>
      <c r="C83">
        <f t="shared" si="5"/>
        <v>2</v>
      </c>
      <c r="D83" t="str">
        <f t="shared" si="6"/>
        <v>5.4#3</v>
      </c>
      <c r="E83">
        <f t="shared" si="7"/>
        <v>4</v>
      </c>
      <c r="F83" t="str">
        <f t="shared" si="8"/>
        <v>5.4</v>
      </c>
      <c r="G83">
        <f t="shared" si="9"/>
        <v>79</v>
      </c>
      <c r="H83" t="str" cm="1">
        <f t="array" ref="H83">IFERROR(INDEX(A$2:A$113,G83),"")</f>
        <v>Evaluation and Tuning</v>
      </c>
    </row>
    <row r="84" spans="1:8" x14ac:dyDescent="0.3">
      <c r="A84" t="s">
        <v>166</v>
      </c>
      <c r="B84" t="s">
        <v>167</v>
      </c>
      <c r="C84">
        <f t="shared" si="5"/>
        <v>0</v>
      </c>
      <c r="D84" t="e">
        <f t="shared" si="6"/>
        <v>#VALUE!</v>
      </c>
      <c r="E84" t="e">
        <f t="shared" si="7"/>
        <v>#VALUE!</v>
      </c>
      <c r="F84" t="e">
        <f t="shared" si="8"/>
        <v>#VALUE!</v>
      </c>
      <c r="G84" t="e">
        <f t="shared" si="9"/>
        <v>#VALUE!</v>
      </c>
      <c r="H84" t="str" cm="1">
        <f t="array" ref="H84">IFERROR(INDEX(A$2:A$113,G84),"")</f>
        <v/>
      </c>
    </row>
    <row r="85" spans="1:8" x14ac:dyDescent="0.3">
      <c r="A85" t="s">
        <v>168</v>
      </c>
      <c r="B85" t="s">
        <v>169</v>
      </c>
      <c r="C85">
        <f t="shared" si="5"/>
        <v>1</v>
      </c>
      <c r="D85" t="str">
        <f t="shared" si="6"/>
        <v>6#1</v>
      </c>
      <c r="E85">
        <f t="shared" si="7"/>
        <v>2</v>
      </c>
      <c r="F85" t="str">
        <f t="shared" si="8"/>
        <v>6</v>
      </c>
      <c r="G85">
        <f t="shared" si="9"/>
        <v>83</v>
      </c>
      <c r="H85" t="str" cm="1">
        <f t="array" ref="H85">IFERROR(INDEX(A$2:A$113,G85),"")</f>
        <v>Testing and Quality Assurance</v>
      </c>
    </row>
    <row r="86" spans="1:8" x14ac:dyDescent="0.3">
      <c r="A86" t="s">
        <v>170</v>
      </c>
      <c r="B86" t="s">
        <v>171</v>
      </c>
      <c r="C86">
        <f t="shared" si="5"/>
        <v>2</v>
      </c>
      <c r="D86" t="str">
        <f t="shared" si="6"/>
        <v>6.1#1</v>
      </c>
      <c r="E86">
        <f t="shared" si="7"/>
        <v>4</v>
      </c>
      <c r="F86" t="str">
        <f t="shared" si="8"/>
        <v>6.1</v>
      </c>
      <c r="G86">
        <f t="shared" si="9"/>
        <v>84</v>
      </c>
      <c r="H86" t="str" cm="1">
        <f t="array" ref="H86">IFERROR(INDEX(A$2:A$113,G86),"")</f>
        <v>Module Testing</v>
      </c>
    </row>
    <row r="87" spans="1:8" x14ac:dyDescent="0.3">
      <c r="A87" t="s">
        <v>172</v>
      </c>
      <c r="B87" t="s">
        <v>173</v>
      </c>
      <c r="C87">
        <f t="shared" si="5"/>
        <v>2</v>
      </c>
      <c r="D87" t="str">
        <f t="shared" si="6"/>
        <v>6.1#2</v>
      </c>
      <c r="E87">
        <f t="shared" si="7"/>
        <v>4</v>
      </c>
      <c r="F87" t="str">
        <f t="shared" si="8"/>
        <v>6.1</v>
      </c>
      <c r="G87">
        <f t="shared" si="9"/>
        <v>84</v>
      </c>
      <c r="H87" t="str" cm="1">
        <f t="array" ref="H87">IFERROR(INDEX(A$2:A$113,G87),"")</f>
        <v>Module Testing</v>
      </c>
    </row>
    <row r="88" spans="1:8" x14ac:dyDescent="0.3">
      <c r="A88" t="s">
        <v>174</v>
      </c>
      <c r="B88" t="s">
        <v>175</v>
      </c>
      <c r="C88">
        <f t="shared" si="5"/>
        <v>2</v>
      </c>
      <c r="D88" t="str">
        <f t="shared" si="6"/>
        <v>6.1#3</v>
      </c>
      <c r="E88">
        <f t="shared" si="7"/>
        <v>4</v>
      </c>
      <c r="F88" t="str">
        <f t="shared" si="8"/>
        <v>6.1</v>
      </c>
      <c r="G88">
        <f t="shared" si="9"/>
        <v>84</v>
      </c>
      <c r="H88" t="str" cm="1">
        <f t="array" ref="H88">IFERROR(INDEX(A$2:A$113,G88),"")</f>
        <v>Module Testing</v>
      </c>
    </row>
    <row r="89" spans="1:8" x14ac:dyDescent="0.3">
      <c r="A89" t="s">
        <v>176</v>
      </c>
      <c r="B89" t="s">
        <v>177</v>
      </c>
      <c r="C89">
        <f t="shared" si="5"/>
        <v>1</v>
      </c>
      <c r="D89" t="str">
        <f t="shared" si="6"/>
        <v>6#2</v>
      </c>
      <c r="E89">
        <f t="shared" si="7"/>
        <v>2</v>
      </c>
      <c r="F89" t="str">
        <f t="shared" si="8"/>
        <v>6</v>
      </c>
      <c r="G89">
        <f t="shared" si="9"/>
        <v>83</v>
      </c>
      <c r="H89" t="str" cm="1">
        <f t="array" ref="H89">IFERROR(INDEX(A$2:A$113,G89),"")</f>
        <v>Testing and Quality Assurance</v>
      </c>
    </row>
    <row r="90" spans="1:8" x14ac:dyDescent="0.3">
      <c r="A90" t="s">
        <v>178</v>
      </c>
      <c r="B90" t="s">
        <v>179</v>
      </c>
      <c r="C90">
        <f t="shared" si="5"/>
        <v>2</v>
      </c>
      <c r="D90" t="str">
        <f t="shared" si="6"/>
        <v>6.2#1</v>
      </c>
      <c r="E90">
        <f t="shared" si="7"/>
        <v>4</v>
      </c>
      <c r="F90" t="str">
        <f t="shared" si="8"/>
        <v>6.2</v>
      </c>
      <c r="G90">
        <f t="shared" si="9"/>
        <v>88</v>
      </c>
      <c r="H90" t="str" cm="1">
        <f t="array" ref="H90">IFERROR(INDEX(A$2:A$113,G90),"")</f>
        <v>System Integration Testing</v>
      </c>
    </row>
    <row r="91" spans="1:8" x14ac:dyDescent="0.3">
      <c r="A91" t="s">
        <v>180</v>
      </c>
      <c r="B91" t="s">
        <v>181</v>
      </c>
      <c r="C91">
        <f t="shared" si="5"/>
        <v>2</v>
      </c>
      <c r="D91" t="str">
        <f t="shared" si="6"/>
        <v>6.2#2</v>
      </c>
      <c r="E91">
        <f t="shared" si="7"/>
        <v>4</v>
      </c>
      <c r="F91" t="str">
        <f t="shared" si="8"/>
        <v>6.2</v>
      </c>
      <c r="G91">
        <f t="shared" si="9"/>
        <v>88</v>
      </c>
      <c r="H91" t="str" cm="1">
        <f t="array" ref="H91">IFERROR(INDEX(A$2:A$113,G91),"")</f>
        <v>System Integration Testing</v>
      </c>
    </row>
    <row r="92" spans="1:8" x14ac:dyDescent="0.3">
      <c r="A92" t="s">
        <v>182</v>
      </c>
      <c r="B92" t="s">
        <v>183</v>
      </c>
      <c r="C92">
        <f t="shared" si="5"/>
        <v>1</v>
      </c>
      <c r="D92" t="str">
        <f t="shared" si="6"/>
        <v>6#3</v>
      </c>
      <c r="E92">
        <f t="shared" si="7"/>
        <v>2</v>
      </c>
      <c r="F92" t="str">
        <f t="shared" si="8"/>
        <v>6</v>
      </c>
      <c r="G92">
        <f t="shared" si="9"/>
        <v>83</v>
      </c>
      <c r="H92" t="str" cm="1">
        <f t="array" ref="H92">IFERROR(INDEX(A$2:A$113,G92),"")</f>
        <v>Testing and Quality Assurance</v>
      </c>
    </row>
    <row r="93" spans="1:8" x14ac:dyDescent="0.3">
      <c r="A93" t="s">
        <v>184</v>
      </c>
      <c r="B93" t="s">
        <v>185</v>
      </c>
      <c r="C93">
        <f t="shared" si="5"/>
        <v>2</v>
      </c>
      <c r="D93" t="str">
        <f t="shared" si="6"/>
        <v>6.3#1</v>
      </c>
      <c r="E93">
        <f t="shared" si="7"/>
        <v>4</v>
      </c>
      <c r="F93" t="str">
        <f t="shared" si="8"/>
        <v>6.3</v>
      </c>
      <c r="G93">
        <f t="shared" si="9"/>
        <v>91</v>
      </c>
      <c r="H93" t="str" cm="1">
        <f t="array" ref="H93">IFERROR(INDEX(A$2:A$113,G93),"")</f>
        <v>User Acceptance Testing</v>
      </c>
    </row>
    <row r="94" spans="1:8" x14ac:dyDescent="0.3">
      <c r="A94" t="s">
        <v>186</v>
      </c>
      <c r="B94" t="s">
        <v>187</v>
      </c>
      <c r="C94">
        <f t="shared" si="5"/>
        <v>2</v>
      </c>
      <c r="D94" t="str">
        <f t="shared" si="6"/>
        <v>6.3#2</v>
      </c>
      <c r="E94">
        <f t="shared" si="7"/>
        <v>4</v>
      </c>
      <c r="F94" t="str">
        <f t="shared" si="8"/>
        <v>6.3</v>
      </c>
      <c r="G94">
        <f t="shared" si="9"/>
        <v>91</v>
      </c>
      <c r="H94" t="str" cm="1">
        <f t="array" ref="H94">IFERROR(INDEX(A$2:A$113,G94),"")</f>
        <v>User Acceptance Testing</v>
      </c>
    </row>
    <row r="95" spans="1:8" x14ac:dyDescent="0.3">
      <c r="A95" t="s">
        <v>188</v>
      </c>
      <c r="B95" t="s">
        <v>189</v>
      </c>
      <c r="C95">
        <f t="shared" si="5"/>
        <v>0</v>
      </c>
      <c r="D95" t="e">
        <f t="shared" si="6"/>
        <v>#VALUE!</v>
      </c>
      <c r="E95" t="e">
        <f t="shared" si="7"/>
        <v>#VALUE!</v>
      </c>
      <c r="F95" t="e">
        <f t="shared" si="8"/>
        <v>#VALUE!</v>
      </c>
      <c r="G95" t="e">
        <f t="shared" si="9"/>
        <v>#VALUE!</v>
      </c>
      <c r="H95" t="str" cm="1">
        <f t="array" ref="H95">IFERROR(INDEX(A$2:A$113,G95),"")</f>
        <v/>
      </c>
    </row>
    <row r="96" spans="1:8" x14ac:dyDescent="0.3">
      <c r="A96" t="s">
        <v>190</v>
      </c>
      <c r="B96" t="s">
        <v>191</v>
      </c>
      <c r="C96">
        <f t="shared" si="5"/>
        <v>1</v>
      </c>
      <c r="D96" t="str">
        <f t="shared" si="6"/>
        <v>7#1</v>
      </c>
      <c r="E96">
        <f t="shared" si="7"/>
        <v>2</v>
      </c>
      <c r="F96" t="str">
        <f t="shared" si="8"/>
        <v>7</v>
      </c>
      <c r="G96">
        <f t="shared" si="9"/>
        <v>94</v>
      </c>
      <c r="H96" t="str" cm="1">
        <f t="array" ref="H96">IFERROR(INDEX(A$2:A$113,G96),"")</f>
        <v>Deployment</v>
      </c>
    </row>
    <row r="97" spans="1:8" x14ac:dyDescent="0.3">
      <c r="A97" t="s">
        <v>192</v>
      </c>
      <c r="B97" t="s">
        <v>193</v>
      </c>
      <c r="C97">
        <f t="shared" si="5"/>
        <v>2</v>
      </c>
      <c r="D97" t="str">
        <f t="shared" si="6"/>
        <v>7.1#1</v>
      </c>
      <c r="E97">
        <f t="shared" si="7"/>
        <v>4</v>
      </c>
      <c r="F97" t="str">
        <f t="shared" si="8"/>
        <v>7.1</v>
      </c>
      <c r="G97">
        <f t="shared" si="9"/>
        <v>95</v>
      </c>
      <c r="H97" t="str" cm="1">
        <f t="array" ref="H97">IFERROR(INDEX(A$2:A$113,G97),"")</f>
        <v>Setup Hosting</v>
      </c>
    </row>
    <row r="98" spans="1:8" x14ac:dyDescent="0.3">
      <c r="A98" t="s">
        <v>194</v>
      </c>
      <c r="B98" t="s">
        <v>195</v>
      </c>
      <c r="C98">
        <f t="shared" si="5"/>
        <v>2</v>
      </c>
      <c r="D98" t="str">
        <f t="shared" si="6"/>
        <v>7.1#2</v>
      </c>
      <c r="E98">
        <f t="shared" si="7"/>
        <v>4</v>
      </c>
      <c r="F98" t="str">
        <f t="shared" si="8"/>
        <v>7.1</v>
      </c>
      <c r="G98">
        <f t="shared" si="9"/>
        <v>95</v>
      </c>
      <c r="H98" t="str" cm="1">
        <f t="array" ref="H98">IFERROR(INDEX(A$2:A$113,G98),"")</f>
        <v>Setup Hosting</v>
      </c>
    </row>
    <row r="99" spans="1:8" x14ac:dyDescent="0.3">
      <c r="A99" t="s">
        <v>196</v>
      </c>
      <c r="B99" t="s">
        <v>197</v>
      </c>
      <c r="C99">
        <f t="shared" si="5"/>
        <v>1</v>
      </c>
      <c r="D99" t="str">
        <f t="shared" si="6"/>
        <v>7#2</v>
      </c>
      <c r="E99">
        <f t="shared" si="7"/>
        <v>2</v>
      </c>
      <c r="F99" t="str">
        <f t="shared" si="8"/>
        <v>7</v>
      </c>
      <c r="G99">
        <f t="shared" si="9"/>
        <v>94</v>
      </c>
      <c r="H99" t="str" cm="1">
        <f t="array" ref="H99">IFERROR(INDEX(A$2:A$113,G99),"")</f>
        <v>Deployment</v>
      </c>
    </row>
    <row r="100" spans="1:8" x14ac:dyDescent="0.3">
      <c r="A100" t="s">
        <v>198</v>
      </c>
      <c r="B100" t="s">
        <v>199</v>
      </c>
      <c r="C100">
        <f t="shared" si="5"/>
        <v>2</v>
      </c>
      <c r="D100" t="str">
        <f t="shared" si="6"/>
        <v>7.2#1</v>
      </c>
      <c r="E100">
        <f t="shared" si="7"/>
        <v>4</v>
      </c>
      <c r="F100" t="str">
        <f t="shared" si="8"/>
        <v>7.2</v>
      </c>
      <c r="G100">
        <f t="shared" si="9"/>
        <v>98</v>
      </c>
      <c r="H100" t="str" cm="1">
        <f t="array" ref="H100">IFERROR(INDEX(A$2:A$113,G100),"")</f>
        <v>Final Review and Approval</v>
      </c>
    </row>
    <row r="101" spans="1:8" x14ac:dyDescent="0.3">
      <c r="A101" t="s">
        <v>200</v>
      </c>
      <c r="B101" t="s">
        <v>201</v>
      </c>
      <c r="C101">
        <f t="shared" si="5"/>
        <v>2</v>
      </c>
      <c r="D101" t="str">
        <f t="shared" si="6"/>
        <v>7.2#2</v>
      </c>
      <c r="E101">
        <f t="shared" si="7"/>
        <v>4</v>
      </c>
      <c r="F101" t="str">
        <f t="shared" si="8"/>
        <v>7.2</v>
      </c>
      <c r="G101">
        <f t="shared" si="9"/>
        <v>98</v>
      </c>
      <c r="H101" t="str" cm="1">
        <f t="array" ref="H101">IFERROR(INDEX(A$2:A$113,G101),"")</f>
        <v>Final Review and Approval</v>
      </c>
    </row>
    <row r="102" spans="1:8" x14ac:dyDescent="0.3">
      <c r="A102" t="s">
        <v>202</v>
      </c>
      <c r="B102" t="s">
        <v>203</v>
      </c>
      <c r="C102">
        <f t="shared" si="5"/>
        <v>1</v>
      </c>
      <c r="D102" t="str">
        <f t="shared" si="6"/>
        <v>7#3</v>
      </c>
      <c r="E102">
        <f t="shared" si="7"/>
        <v>2</v>
      </c>
      <c r="F102" t="str">
        <f t="shared" si="8"/>
        <v>7</v>
      </c>
      <c r="G102">
        <f t="shared" si="9"/>
        <v>94</v>
      </c>
      <c r="H102" t="str" cm="1">
        <f t="array" ref="H102">IFERROR(INDEX(A$2:A$113,G102),"")</f>
        <v>Deployment</v>
      </c>
    </row>
    <row r="103" spans="1:8" x14ac:dyDescent="0.3">
      <c r="A103" t="s">
        <v>204</v>
      </c>
      <c r="B103" t="s">
        <v>205</v>
      </c>
      <c r="C103">
        <f t="shared" si="5"/>
        <v>2</v>
      </c>
      <c r="D103" t="str">
        <f t="shared" si="6"/>
        <v>7.3#1</v>
      </c>
      <c r="E103">
        <f t="shared" si="7"/>
        <v>4</v>
      </c>
      <c r="F103" t="str">
        <f t="shared" si="8"/>
        <v>7.3</v>
      </c>
      <c r="G103">
        <f t="shared" si="9"/>
        <v>101</v>
      </c>
      <c r="H103" t="str" cm="1">
        <f t="array" ref="H103">IFERROR(INDEX(A$2:A$113,G103),"")</f>
        <v>Launch</v>
      </c>
    </row>
    <row r="104" spans="1:8" x14ac:dyDescent="0.3">
      <c r="A104" t="s">
        <v>206</v>
      </c>
      <c r="B104" t="s">
        <v>207</v>
      </c>
      <c r="C104">
        <f t="shared" si="5"/>
        <v>2</v>
      </c>
      <c r="D104" t="str">
        <f t="shared" si="6"/>
        <v>7.3#2</v>
      </c>
      <c r="E104">
        <f t="shared" si="7"/>
        <v>4</v>
      </c>
      <c r="F104" t="str">
        <f t="shared" si="8"/>
        <v>7.3</v>
      </c>
      <c r="G104">
        <f t="shared" si="9"/>
        <v>101</v>
      </c>
      <c r="H104" t="str" cm="1">
        <f t="array" ref="H104">IFERROR(INDEX(A$2:A$113,G104),"")</f>
        <v>Launch</v>
      </c>
    </row>
    <row r="105" spans="1:8" x14ac:dyDescent="0.3">
      <c r="A105" t="s">
        <v>208</v>
      </c>
      <c r="B105" t="s">
        <v>209</v>
      </c>
      <c r="C105">
        <f t="shared" si="5"/>
        <v>0</v>
      </c>
      <c r="D105" t="e">
        <f t="shared" si="6"/>
        <v>#VALUE!</v>
      </c>
      <c r="E105" t="e">
        <f t="shared" si="7"/>
        <v>#VALUE!</v>
      </c>
      <c r="F105" t="e">
        <f t="shared" si="8"/>
        <v>#VALUE!</v>
      </c>
      <c r="G105" t="e">
        <f t="shared" si="9"/>
        <v>#VALUE!</v>
      </c>
      <c r="H105" t="str" cm="1">
        <f t="array" ref="H105">IFERROR(INDEX(A$2:A$113,G105),"")</f>
        <v/>
      </c>
    </row>
    <row r="106" spans="1:8" x14ac:dyDescent="0.3">
      <c r="A106" t="s">
        <v>210</v>
      </c>
      <c r="B106" t="s">
        <v>211</v>
      </c>
      <c r="C106">
        <f t="shared" si="5"/>
        <v>1</v>
      </c>
      <c r="D106" t="str">
        <f t="shared" si="6"/>
        <v>8#1</v>
      </c>
      <c r="E106">
        <f t="shared" si="7"/>
        <v>2</v>
      </c>
      <c r="F106" t="str">
        <f t="shared" si="8"/>
        <v>8</v>
      </c>
      <c r="G106">
        <f t="shared" si="9"/>
        <v>104</v>
      </c>
      <c r="H106" t="str" cm="1">
        <f t="array" ref="H106">IFERROR(INDEX(A$2:A$113,G106),"")</f>
        <v>Maintenance and Updates</v>
      </c>
    </row>
    <row r="107" spans="1:8" x14ac:dyDescent="0.3">
      <c r="A107" t="s">
        <v>212</v>
      </c>
      <c r="B107" t="s">
        <v>213</v>
      </c>
      <c r="C107">
        <f t="shared" si="5"/>
        <v>2</v>
      </c>
      <c r="D107" t="str">
        <f t="shared" si="6"/>
        <v>8.1#1</v>
      </c>
      <c r="E107">
        <f t="shared" si="7"/>
        <v>4</v>
      </c>
      <c r="F107" t="str">
        <f t="shared" si="8"/>
        <v>8.1</v>
      </c>
      <c r="G107">
        <f t="shared" si="9"/>
        <v>105</v>
      </c>
      <c r="H107" t="str" cm="1">
        <f t="array" ref="H107">IFERROR(INDEX(A$2:A$113,G107),"")</f>
        <v>User Support</v>
      </c>
    </row>
    <row r="108" spans="1:8" x14ac:dyDescent="0.3">
      <c r="A108" t="s">
        <v>214</v>
      </c>
      <c r="B108" t="s">
        <v>215</v>
      </c>
      <c r="C108">
        <f t="shared" si="5"/>
        <v>2</v>
      </c>
      <c r="D108" t="str">
        <f t="shared" si="6"/>
        <v>8.1#2</v>
      </c>
      <c r="E108">
        <f t="shared" si="7"/>
        <v>4</v>
      </c>
      <c r="F108" t="str">
        <f t="shared" si="8"/>
        <v>8.1</v>
      </c>
      <c r="G108">
        <f t="shared" si="9"/>
        <v>105</v>
      </c>
      <c r="H108" t="str" cm="1">
        <f t="array" ref="H108">IFERROR(INDEX(A$2:A$113,G108),"")</f>
        <v>User Support</v>
      </c>
    </row>
    <row r="109" spans="1:8" x14ac:dyDescent="0.3">
      <c r="A109" t="s">
        <v>216</v>
      </c>
      <c r="B109" t="s">
        <v>217</v>
      </c>
      <c r="C109">
        <f t="shared" si="5"/>
        <v>1</v>
      </c>
      <c r="D109" t="str">
        <f t="shared" si="6"/>
        <v>8#2</v>
      </c>
      <c r="E109">
        <f t="shared" si="7"/>
        <v>2</v>
      </c>
      <c r="F109" t="str">
        <f t="shared" si="8"/>
        <v>8</v>
      </c>
      <c r="G109">
        <f t="shared" si="9"/>
        <v>104</v>
      </c>
      <c r="H109" t="str" cm="1">
        <f t="array" ref="H109">IFERROR(INDEX(A$2:A$113,G109),"")</f>
        <v>Maintenance and Updates</v>
      </c>
    </row>
    <row r="110" spans="1:8" x14ac:dyDescent="0.3">
      <c r="A110" t="s">
        <v>218</v>
      </c>
      <c r="B110" t="s">
        <v>219</v>
      </c>
      <c r="C110">
        <f t="shared" si="5"/>
        <v>2</v>
      </c>
      <c r="D110" t="str">
        <f t="shared" si="6"/>
        <v>8.2#1</v>
      </c>
      <c r="E110">
        <f t="shared" si="7"/>
        <v>4</v>
      </c>
      <c r="F110" t="str">
        <f t="shared" si="8"/>
        <v>8.2</v>
      </c>
      <c r="G110">
        <f t="shared" si="9"/>
        <v>108</v>
      </c>
      <c r="H110" t="str" cm="1">
        <f t="array" ref="H110">IFERROR(INDEX(A$2:A$113,G110),"")</f>
        <v>Platform Enhancements</v>
      </c>
    </row>
    <row r="111" spans="1:8" x14ac:dyDescent="0.3">
      <c r="A111" t="s">
        <v>220</v>
      </c>
      <c r="B111" t="s">
        <v>221</v>
      </c>
      <c r="C111">
        <f t="shared" si="5"/>
        <v>2</v>
      </c>
      <c r="D111" t="str">
        <f t="shared" si="6"/>
        <v>8.2#2</v>
      </c>
      <c r="E111">
        <f t="shared" si="7"/>
        <v>4</v>
      </c>
      <c r="F111" t="str">
        <f t="shared" si="8"/>
        <v>8.2</v>
      </c>
      <c r="G111">
        <f t="shared" si="9"/>
        <v>108</v>
      </c>
      <c r="H111" t="str" cm="1">
        <f t="array" ref="H111">IFERROR(INDEX(A$2:A$113,G111),"")</f>
        <v>Platform Enhancements</v>
      </c>
    </row>
    <row r="112" spans="1:8" x14ac:dyDescent="0.3">
      <c r="A112" t="s">
        <v>222</v>
      </c>
      <c r="B112" t="s">
        <v>223</v>
      </c>
      <c r="C112">
        <f t="shared" si="5"/>
        <v>1</v>
      </c>
      <c r="D112" t="str">
        <f t="shared" si="6"/>
        <v>8#3</v>
      </c>
      <c r="E112">
        <f t="shared" si="7"/>
        <v>2</v>
      </c>
      <c r="F112" t="str">
        <f t="shared" si="8"/>
        <v>8</v>
      </c>
      <c r="G112">
        <f t="shared" si="9"/>
        <v>104</v>
      </c>
      <c r="H112" t="str" cm="1">
        <f t="array" ref="H112">IFERROR(INDEX(A$2:A$113,G112),"")</f>
        <v>Maintenance and Updates</v>
      </c>
    </row>
    <row r="113" spans="1:8" x14ac:dyDescent="0.3">
      <c r="A113" t="s">
        <v>224</v>
      </c>
      <c r="B113" t="s">
        <v>225</v>
      </c>
      <c r="C113">
        <f t="shared" si="5"/>
        <v>2</v>
      </c>
      <c r="E113" t="e">
        <f t="shared" si="7"/>
        <v>#VALUE!</v>
      </c>
      <c r="F113" t="e">
        <f t="shared" si="8"/>
        <v>#VALUE!</v>
      </c>
      <c r="G113" t="e">
        <f t="shared" si="9"/>
        <v>#VALUE!</v>
      </c>
      <c r="H113" t="str" cm="1">
        <f t="array" ref="H113">IFERROR(INDEX(A$2:A$113,G113),"")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Task_Table1</vt:lpstr>
      <vt:lpstr>Task_Table1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Muqaddas Aslam</dc:creator>
  <cp:lastModifiedBy>dell</cp:lastModifiedBy>
  <dcterms:created xsi:type="dcterms:W3CDTF">2024-12-01T10:32:59Z</dcterms:created>
  <dcterms:modified xsi:type="dcterms:W3CDTF">2026-04-12T10:05:52Z</dcterms:modified>
</cp:coreProperties>
</file>